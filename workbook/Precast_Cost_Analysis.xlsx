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Assumptions" sheetId="2" state="visible" r:id="rId4"/>
    <sheet name="Items" sheetId="3" state="visible" r:id="rId5"/>
    <sheet name="Suppliers" sheetId="4" state="visible" r:id="rId6"/>
    <sheet name="Components" sheetId="5" state="visible" r:id="rId7"/>
    <sheet name="BOM" sheetId="6" state="visible" r:id="rId8"/>
    <sheet name="Sales" sheetId="7" state="visible" r:id="rId9"/>
    <sheet name="Cost_Rollup" sheetId="8" state="visible" r:id="rId10"/>
    <sheet name="Sourcing" sheetId="9" state="visible" r:id="rId11"/>
    <sheet name="Summary" sheetId="10" state="visible" r:id="rId12"/>
    <sheet name="Data_Quality" sheetId="11" state="visible" r:id="rId13"/>
    <sheet name="Open_Questions" sheetId="12" state="visible" r:id="rId14"/>
  </sheets>
  <definedNames>
    <definedName function="false" hidden="true" localSheetId="5" name="_xlnm._FilterDatabase" vbProcedure="false">BOM!$A$1:$S$112</definedName>
    <definedName function="false" hidden="true" localSheetId="4" name="_xlnm._FilterDatabase" vbProcedure="false">Components!$A$1:$N$20</definedName>
    <definedName function="false" hidden="true" localSheetId="2" name="_xlnm._FilterDatabase" vbProcedure="false">Items!$A$1:$J$13</definedName>
    <definedName function="false" hidden="true" localSheetId="6" name="_xlnm._FilterDatabase" vbProcedure="false">Sales!$A$1:$R$261</definedName>
    <definedName function="false" hidden="true" localSheetId="3" name="_xlnm._FilterDatabase" vbProcedure="false">Suppliers!$A$1:$F$12</definedName>
    <definedName function="false" hidden="false" name="Discount_Threshold" vbProcedure="false">Assumptions!$C$20</definedName>
    <definedName function="false" hidden="false" name="FX_Currency" vbProcedure="false">Assumptions!$B$6:$B$8</definedName>
    <definedName function="false" hidden="false" name="FX_Rate" vbProcedure="false">Assumptions!$C$6:$C$8</definedName>
    <definedName function="false" hidden="false" name="Home_Country" vbProcedure="false">Assumptions!$C$19</definedName>
    <definedName function="false" hidden="false" name="Lead_Time_Flag" vbProcedure="false">Assumptions!$C$21</definedName>
    <definedName function="false" hidden="false" name="Unit_Factor" vbProcedure="false">Assumptions!$E$13:$E$15</definedName>
    <definedName function="false" hidden="false" name="Unit_Key" vbProcedure="false">Assumptions!$B$13:$B$15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<sst xmlns="http://schemas.openxmlformats.org/spreadsheetml/2006/main" count="2285" uniqueCount="696">
  <si>
    <t xml:space="preserve">Precast Cost and Sourcing Analysis</t>
  </si>
  <si>
    <t xml:space="preserve">Learning project with synthetic data for a fictional precast concrete manufacturer, Northfield Precast Ltd. No real company data is used.</t>
  </si>
  <si>
    <t xml:space="preserve">Purpose</t>
  </si>
  <si>
    <t xml:space="preserve">Connect products, bills of materials, suppliers and sales to answer: what does each product cost to make, where does the material come from, and which data needs fixing?</t>
  </si>
  <si>
    <t xml:space="preserve">Sheet</t>
  </si>
  <si>
    <t xml:space="preserve">What it contains</t>
  </si>
  <si>
    <t xml:space="preserve">Assumptions</t>
  </si>
  <si>
    <t xml:space="preserve">Exchange rates, unit conversions, thresholds and key assumptions (inputs).</t>
  </si>
  <si>
    <t xml:space="preserve">Items</t>
  </si>
  <si>
    <t xml:space="preserve">Finished products: list price, conversion cost, HS code. Raw data + checks.</t>
  </si>
  <si>
    <t xml:space="preserve">Suppliers</t>
  </si>
  <si>
    <t xml:space="preserve">Supplier list with country and lead time.</t>
  </si>
  <si>
    <t xml:space="preserve">Components</t>
  </si>
  <si>
    <t xml:space="preserve">Purchased materials and parts with cost, supplier and origin. Raw data + checks.</t>
  </si>
  <si>
    <t xml:space="preserve">BOM</t>
  </si>
  <si>
    <t xml:space="preserve">Bill of materials lines. Looks up cost and origin, converts units, flags issues.</t>
  </si>
  <si>
    <t xml:space="preserve">Sales</t>
  </si>
  <si>
    <t xml:space="preserve">2025 invoice lines. Adds category, revenue, discount and cost of sales.</t>
  </si>
  <si>
    <t xml:space="preserve">Cost_Rollup</t>
  </si>
  <si>
    <t xml:space="preserve">Unit cost per product vs. average selling price: margin and cost-to-price ratio.</t>
  </si>
  <si>
    <t xml:space="preserve">Sourcing</t>
  </si>
  <si>
    <t xml:space="preserve">2025 material spend by origin country and by supplier, with reconciliation checks.</t>
  </si>
  <si>
    <t xml:space="preserve">Summary</t>
  </si>
  <si>
    <t xml:space="preserve">Revenue, cost of sales and margin by category and ship-to country.</t>
  </si>
  <si>
    <t xml:space="preserve">Data_Quality</t>
  </si>
  <si>
    <t xml:space="preserve">Count of every flagged issue, with severity and a suggested action.</t>
  </si>
  <si>
    <t xml:space="preserve">Open_Questions</t>
  </si>
  <si>
    <t xml:space="preserve">Log of questions to resolve with other teams.</t>
  </si>
  <si>
    <t xml:space="preserve">Colour guide</t>
  </si>
  <si>
    <t xml:space="preserve">Blue text</t>
  </si>
  <si>
    <t xml:space="preserve">Hardcoded input (raw data or an assumption).</t>
  </si>
  <si>
    <t xml:space="preserve">Black text</t>
  </si>
  <si>
    <t xml:space="preserve">Formula.</t>
  </si>
  <si>
    <t xml:space="preserve">Green text</t>
  </si>
  <si>
    <t xml:space="preserve">Direct link to another sheet.</t>
  </si>
  <si>
    <t xml:space="preserve">Yellow fill</t>
  </si>
  <si>
    <t xml:space="preserve">Key assumption you can change on the Assumptions sheet.</t>
  </si>
  <si>
    <t xml:space="preserve">Dark blue header</t>
  </si>
  <si>
    <t xml:space="preserve">Raw data column (as received).</t>
  </si>
  <si>
    <t xml:space="preserve">Grey-blue header</t>
  </si>
  <si>
    <t xml:space="preserve">Calculated column added in this workbook.</t>
  </si>
  <si>
    <t xml:space="preserve">Red / green fill</t>
  </si>
  <si>
    <t xml:space="preserve">Status CHECK (needs review) / OK.</t>
  </si>
  <si>
    <t xml:space="preserve">Rebuild</t>
  </si>
  <si>
    <t xml:space="preserve">python scripts/generate_data.py  then  python scripts/build_workbook.py</t>
  </si>
  <si>
    <t xml:space="preserve">Assumptions and Settings</t>
  </si>
  <si>
    <t xml:space="preserve">Yellow cells are inputs. Change them here and every sheet updates.</t>
  </si>
  <si>
    <t xml:space="preserve">Exchange rates to CAD</t>
  </si>
  <si>
    <t xml:space="preserve">Currency</t>
  </si>
  <si>
    <t xml:space="preserve">Rate to CAD</t>
  </si>
  <si>
    <t xml:space="preserve">Note</t>
  </si>
  <si>
    <t xml:space="preserve">CAD</t>
  </si>
  <si>
    <t xml:space="preserve">Base currency</t>
  </si>
  <si>
    <t xml:space="preserve">USD</t>
  </si>
  <si>
    <t xml:space="preserve">Assumed average 2025 rate (illustrative)</t>
  </si>
  <si>
    <t xml:space="preserve">EUR</t>
  </si>
  <si>
    <t xml:space="preserve">Unit conversions</t>
  </si>
  <si>
    <t xml:space="preserve">Key (formula)</t>
  </si>
  <si>
    <t xml:space="preserve">From unit</t>
  </si>
  <si>
    <t xml:space="preserve">To unit</t>
  </si>
  <si>
    <t xml:space="preserve">Factor</t>
  </si>
  <si>
    <t xml:space="preserve">LB</t>
  </si>
  <si>
    <t xml:space="preserve">KG</t>
  </si>
  <si>
    <t xml:space="preserve">1 lb = 0.45359237 kg</t>
  </si>
  <si>
    <t xml:space="preserve">G</t>
  </si>
  <si>
    <t xml:space="preserve">1 g = 0.001 kg</t>
  </si>
  <si>
    <t xml:space="preserve">T</t>
  </si>
  <si>
    <t xml:space="preserve">1 kg = 0.001 tonne</t>
  </si>
  <si>
    <t xml:space="preserve">Thresholds and settings</t>
  </si>
  <si>
    <t xml:space="preserve">Home country code</t>
  </si>
  <si>
    <t xml:space="preserve">CA</t>
  </si>
  <si>
    <t xml:space="preserve">Used to split material cost into Domestic / Imported</t>
  </si>
  <si>
    <t xml:space="preserve">Sales discount flag (vs list price)</t>
  </si>
  <si>
    <t xml:space="preserve">Sales lines priced lower than this are flagged</t>
  </si>
  <si>
    <t xml:space="preserve">Long lead time flag (days)</t>
  </si>
  <si>
    <t xml:space="preserve">Suppliers above this lead time are flagged</t>
  </si>
  <si>
    <t xml:space="preserve">Key assumptions</t>
  </si>
  <si>
    <t xml:space="preserve">A1.</t>
  </si>
  <si>
    <t xml:space="preserve">All data in this workbook is synthetic (invented) and is used for learning only.</t>
  </si>
  <si>
    <t xml:space="preserve">A2.</t>
  </si>
  <si>
    <t xml:space="preserve">Unit costs are latest purchase prices, converted to CAD with the rates above.</t>
  </si>
  <si>
    <t xml:space="preserve">A3.</t>
  </si>
  <si>
    <t xml:space="preserve">Conversion cost (labour + plant overhead) per item is an estimate held on the Items sheet.</t>
  </si>
  <si>
    <t xml:space="preserve">A4.</t>
  </si>
  <si>
    <t xml:space="preserve">Concrete quantities use one simplified mix design per cubic metre for all products.</t>
  </si>
  <si>
    <t xml:space="preserve">A5.</t>
  </si>
  <si>
    <t xml:space="preserve">If a component code appears twice, lookups use the FIRST row. Duplicates are flagged on Components.</t>
  </si>
  <si>
    <t xml:space="preserve">A6.</t>
  </si>
  <si>
    <t xml:space="preserve">BOM lines with a missing cost are left out of material cost and flagged as 'Incomplete'.</t>
  </si>
  <si>
    <t xml:space="preserve">A7.</t>
  </si>
  <si>
    <t xml:space="preserve">HS codes are illustrative and must be confirmed before any real use.</t>
  </si>
  <si>
    <t xml:space="preserve">A8.</t>
  </si>
  <si>
    <t xml:space="preserve">Average selling price uses only 2025 invoice lines that have a price.</t>
  </si>
  <si>
    <t xml:space="preserve">item_no</t>
  </si>
  <si>
    <t xml:space="preserve">description</t>
  </si>
  <si>
    <t xml:space="preserve">category</t>
  </si>
  <si>
    <t xml:space="preserve">uom</t>
  </si>
  <si>
    <t xml:space="preserve">hs_code</t>
  </si>
  <si>
    <t xml:space="preserve">list_price_cad</t>
  </si>
  <si>
    <t xml:space="preserve">conversion_cost_cad</t>
  </si>
  <si>
    <t xml:space="preserve">item_key</t>
  </si>
  <si>
    <t xml:space="preserve">issues</t>
  </si>
  <si>
    <t xml:space="preserve">status</t>
  </si>
  <si>
    <t xml:space="preserve">PC-RCP-0600</t>
  </si>
  <si>
    <t xml:space="preserve">Reinforced concrete pipe 600 mm x 2.44 m</t>
  </si>
  <si>
    <t xml:space="preserve">Pipe</t>
  </si>
  <si>
    <t xml:space="preserve">EA</t>
  </si>
  <si>
    <t xml:space="preserve">6810.91</t>
  </si>
  <si>
    <t xml:space="preserve">PC-RCP-0900</t>
  </si>
  <si>
    <t xml:space="preserve">Reinforced concrete pipe 900 mm x 2.44 m</t>
  </si>
  <si>
    <t xml:space="preserve">PC-RCP-1200</t>
  </si>
  <si>
    <t xml:space="preserve">Reinforced concrete pipe 1200 mm x 2.44 m</t>
  </si>
  <si>
    <t xml:space="preserve">PC-BOX-1812</t>
  </si>
  <si>
    <t xml:space="preserve">Box culvert section 1.8 m x 1.2 m x 1.8 m</t>
  </si>
  <si>
    <t xml:space="preserve">Box Culvert</t>
  </si>
  <si>
    <t xml:space="preserve">PC-MH-1050B</t>
  </si>
  <si>
    <t xml:space="preserve">Manhole base 1050 mm</t>
  </si>
  <si>
    <t xml:space="preserve">Manhole</t>
  </si>
  <si>
    <t xml:space="preserve">PC-MH-1200B</t>
  </si>
  <si>
    <t xml:space="preserve">Manhole base 1200 mm</t>
  </si>
  <si>
    <t xml:space="preserve">PC-MH-1200R</t>
  </si>
  <si>
    <t xml:space="preserve">Manhole riser 1200 mm x 600 mm</t>
  </si>
  <si>
    <t xml:space="preserve">PC-CB-0600</t>
  </si>
  <si>
    <t xml:space="preserve">Catch basin 600 mm x 600 mm</t>
  </si>
  <si>
    <t xml:space="preserve">Catch Basin</t>
  </si>
  <si>
    <t xml:space="preserve">PC-BAR-F38</t>
  </si>
  <si>
    <t xml:space="preserve">F-shape traffic barrier 3.8 m</t>
  </si>
  <si>
    <t xml:space="preserve">Barrier</t>
  </si>
  <si>
    <t xml:space="preserve">6810.99</t>
  </si>
  <si>
    <t xml:space="preserve">PC-BAR-SS60</t>
  </si>
  <si>
    <t xml:space="preserve">Single-slope traffic barrier 6.0 m</t>
  </si>
  <si>
    <t xml:space="preserve">PC-HC-200</t>
  </si>
  <si>
    <t xml:space="preserve">Hollow-core slab 200 mm (per m2)</t>
  </si>
  <si>
    <t xml:space="preserve">Slab</t>
  </si>
  <si>
    <t xml:space="preserve">M2</t>
  </si>
  <si>
    <t xml:space="preserve">PC-HC-250</t>
  </si>
  <si>
    <t xml:space="preserve">Hollow-core slab 250 mm (per m2)</t>
  </si>
  <si>
    <t xml:space="preserve">supplier_id</t>
  </si>
  <si>
    <t xml:space="preserve">supplier_name</t>
  </si>
  <si>
    <t xml:space="preserve">country</t>
  </si>
  <si>
    <t xml:space="preserve">currency</t>
  </si>
  <si>
    <t xml:space="preserve">lead_time_days</t>
  </si>
  <si>
    <t xml:space="preserve">lead_time_flag</t>
  </si>
  <si>
    <t xml:space="preserve">SUP-01</t>
  </si>
  <si>
    <t xml:space="preserve">Prairie Cement Co.</t>
  </si>
  <si>
    <t xml:space="preserve">SUP-02</t>
  </si>
  <si>
    <t xml:space="preserve">Great Plains Ash Inc.</t>
  </si>
  <si>
    <t xml:space="preserve">US</t>
  </si>
  <si>
    <t xml:space="preserve">SUP-03</t>
  </si>
  <si>
    <t xml:space="preserve">Red Valley Aggregates</t>
  </si>
  <si>
    <t xml:space="preserve">SUP-04</t>
  </si>
  <si>
    <t xml:space="preserve">Midwest Admix Solutions</t>
  </si>
  <si>
    <t xml:space="preserve">SUP-05</t>
  </si>
  <si>
    <t xml:space="preserve">Northern Rebar Mills</t>
  </si>
  <si>
    <t xml:space="preserve">SUP-06</t>
  </si>
  <si>
    <t xml:space="preserve">Anatolia Steel Trading</t>
  </si>
  <si>
    <t xml:space="preserve">TR</t>
  </si>
  <si>
    <t xml:space="preserve">SUP-07</t>
  </si>
  <si>
    <t xml:space="preserve">Lakeside Wire Products</t>
  </si>
  <si>
    <t xml:space="preserve">SUP-08</t>
  </si>
  <si>
    <t xml:space="preserve">Hanbit Strand Co.</t>
  </si>
  <si>
    <t xml:space="preserve">KR</t>
  </si>
  <si>
    <t xml:space="preserve">SUP-09</t>
  </si>
  <si>
    <t xml:space="preserve">Sierra Rubber Works</t>
  </si>
  <si>
    <t xml:space="preserve">MX</t>
  </si>
  <si>
    <t xml:space="preserve">SUP-10</t>
  </si>
  <si>
    <t xml:space="preserve">Rhein Lifting Systems</t>
  </si>
  <si>
    <t xml:space="preserve">DE</t>
  </si>
  <si>
    <t xml:space="preserve">SUP-12</t>
  </si>
  <si>
    <t xml:space="preserve">Westway Site Supply</t>
  </si>
  <si>
    <t xml:space="preserve">comp_code</t>
  </si>
  <si>
    <t xml:space="preserve">unit_cost</t>
  </si>
  <si>
    <t xml:space="preserve">origin_country</t>
  </si>
  <si>
    <t xml:space="preserve">comp_key</t>
  </si>
  <si>
    <t xml:space="preserve">unit_cost_cad</t>
  </si>
  <si>
    <t xml:space="preserve">key_count</t>
  </si>
  <si>
    <t xml:space="preserve">CMT-GU</t>
  </si>
  <si>
    <t xml:space="preserve">Portland cement Type GU</t>
  </si>
  <si>
    <t xml:space="preserve">2523.29</t>
  </si>
  <si>
    <t xml:space="preserve">SCM-FA</t>
  </si>
  <si>
    <t xml:space="preserve">Fly ash Class F</t>
  </si>
  <si>
    <t xml:space="preserve">2621.90</t>
  </si>
  <si>
    <t xml:space="preserve">AGG-20</t>
  </si>
  <si>
    <t xml:space="preserve">Coarse aggregate 20 mm</t>
  </si>
  <si>
    <t xml:space="preserve">2517.10</t>
  </si>
  <si>
    <t xml:space="preserve">AGG-SND</t>
  </si>
  <si>
    <t xml:space="preserve">Concrete sand</t>
  </si>
  <si>
    <t xml:space="preserve">2505.90</t>
  </si>
  <si>
    <t xml:space="preserve">ADM-SP</t>
  </si>
  <si>
    <t xml:space="preserve">Superplasticizer admixture</t>
  </si>
  <si>
    <t xml:space="preserve">L</t>
  </si>
  <si>
    <t xml:space="preserve">3824.40</t>
  </si>
  <si>
    <t xml:space="preserve">ADM-AE</t>
  </si>
  <si>
    <t xml:space="preserve">Air-entraining admixture</t>
  </si>
  <si>
    <t xml:space="preserve">382440</t>
  </si>
  <si>
    <t xml:space="preserve">RB-10M</t>
  </si>
  <si>
    <t xml:space="preserve">Rebar 10M</t>
  </si>
  <si>
    <t xml:space="preserve">7214.20</t>
  </si>
  <si>
    <t xml:space="preserve">RB-15M</t>
  </si>
  <si>
    <t xml:space="preserve">Rebar 15M</t>
  </si>
  <si>
    <t xml:space="preserve">RB-20M</t>
  </si>
  <si>
    <t xml:space="preserve">Rebar 20M</t>
  </si>
  <si>
    <t xml:space="preserve">WWM-152</t>
  </si>
  <si>
    <t xml:space="preserve">Welded wire mesh 152x152 MW25.8</t>
  </si>
  <si>
    <t xml:space="preserve">7314.20</t>
  </si>
  <si>
    <t xml:space="preserve">STR-127</t>
  </si>
  <si>
    <t xml:space="preserve">Prestressing strand 12.7 mm</t>
  </si>
  <si>
    <t xml:space="preserve">7312.10</t>
  </si>
  <si>
    <t xml:space="preserve">GSK-0600</t>
  </si>
  <si>
    <t xml:space="preserve">Rubber pipe gasket 600 mm</t>
  </si>
  <si>
    <t xml:space="preserve">4016.93</t>
  </si>
  <si>
    <t xml:space="preserve">GSK-0900</t>
  </si>
  <si>
    <t xml:space="preserve">Rubber pipe gasket 900 mm</t>
  </si>
  <si>
    <t xml:space="preserve">GSK-1200</t>
  </si>
  <si>
    <t xml:space="preserve">Rubber pipe gasket 1200 mm</t>
  </si>
  <si>
    <t xml:space="preserve">LFT-ANC</t>
  </si>
  <si>
    <t xml:space="preserve">Lifting anchor 2.5 t</t>
  </si>
  <si>
    <t xml:space="preserve">7326.90</t>
  </si>
  <si>
    <t xml:space="preserve">CST-FRM</t>
  </si>
  <si>
    <t xml:space="preserve">Catch basin frame and grate casting</t>
  </si>
  <si>
    <t xml:space="preserve">SUP-11</t>
  </si>
  <si>
    <t xml:space="preserve">IN</t>
  </si>
  <si>
    <t xml:space="preserve">7325.10</t>
  </si>
  <si>
    <t xml:space="preserve">SEAL-BUT</t>
  </si>
  <si>
    <t xml:space="preserve">Butyl joint sealant</t>
  </si>
  <si>
    <t xml:space="preserve">M</t>
  </si>
  <si>
    <t xml:space="preserve">3214.10</t>
  </si>
  <si>
    <t xml:space="preserve">FRM-OIL</t>
  </si>
  <si>
    <t xml:space="preserve">Form release agent</t>
  </si>
  <si>
    <t xml:space="preserve">2710.19</t>
  </si>
  <si>
    <t xml:space="preserve">rb-15m </t>
  </si>
  <si>
    <t xml:space="preserve">Rebar 15M (old price)</t>
  </si>
  <si>
    <t xml:space="preserve">parent_item</t>
  </si>
  <si>
    <t xml:space="preserve">line_no</t>
  </si>
  <si>
    <t xml:space="preserve">qty_per</t>
  </si>
  <si>
    <t xml:space="preserve">comp_description</t>
  </si>
  <si>
    <t xml:space="preserve">comp_uom</t>
  </si>
  <si>
    <t xml:space="preserve">conv_factor</t>
  </si>
  <si>
    <t xml:space="preserve">qty_in_comp_uom</t>
  </si>
  <si>
    <t xml:space="preserve">extended_cost_cad</t>
  </si>
  <si>
    <t xml:space="preserve">origin_group</t>
  </si>
  <si>
    <t xml:space="preserve">units_sold_2025</t>
  </si>
  <si>
    <t xml:space="preserve">spend_2025_cad</t>
  </si>
  <si>
    <t xml:space="preserve">RB-12M</t>
  </si>
  <si>
    <t xml:space="preserve">cst-frm</t>
  </si>
  <si>
    <t xml:space="preserve">invoice_no</t>
  </si>
  <si>
    <t xml:space="preserve">invoice_date</t>
  </si>
  <si>
    <t xml:space="preserve">customer_id</t>
  </si>
  <si>
    <t xml:space="preserve">ship_to_region</t>
  </si>
  <si>
    <t xml:space="preserve">ship_to_country</t>
  </si>
  <si>
    <t xml:space="preserve">qty</t>
  </si>
  <si>
    <t xml:space="preserve">unit_price_cad</t>
  </si>
  <si>
    <t xml:space="preserve">revenue_cad</t>
  </si>
  <si>
    <t xml:space="preserve">priced_qty</t>
  </si>
  <si>
    <t xml:space="preserve">discount_vs_list</t>
  </si>
  <si>
    <t xml:space="preserve">cost_of_sales_cad</t>
  </si>
  <si>
    <t xml:space="preserve">INV-25101</t>
  </si>
  <si>
    <t xml:space="preserve">CUST-006</t>
  </si>
  <si>
    <t xml:space="preserve">AB</t>
  </si>
  <si>
    <t xml:space="preserve">INV-25244</t>
  </si>
  <si>
    <t xml:space="preserve">CUST-002</t>
  </si>
  <si>
    <t xml:space="preserve">INV-25088</t>
  </si>
  <si>
    <t xml:space="preserve">INV-25021</t>
  </si>
  <si>
    <t xml:space="preserve">CUST-001</t>
  </si>
  <si>
    <t xml:space="preserve">INV-25082</t>
  </si>
  <si>
    <t xml:space="preserve">CUST-004</t>
  </si>
  <si>
    <t xml:space="preserve">BC</t>
  </si>
  <si>
    <t xml:space="preserve">INV-25122</t>
  </si>
  <si>
    <t xml:space="preserve">CUST-005</t>
  </si>
  <si>
    <t xml:space="preserve">MB</t>
  </si>
  <si>
    <t xml:space="preserve">INV-25128</t>
  </si>
  <si>
    <t xml:space="preserve">INV-25029</t>
  </si>
  <si>
    <t xml:space="preserve">INV-25201</t>
  </si>
  <si>
    <t xml:space="preserve">CUST-007</t>
  </si>
  <si>
    <t xml:space="preserve">MT</t>
  </si>
  <si>
    <t xml:space="preserve">INV-25091</t>
  </si>
  <si>
    <t xml:space="preserve">CUST-009</t>
  </si>
  <si>
    <t xml:space="preserve">SK</t>
  </si>
  <si>
    <t xml:space="preserve">INV-25217</t>
  </si>
  <si>
    <t xml:space="preserve">CUST-008</t>
  </si>
  <si>
    <t xml:space="preserve">ND</t>
  </si>
  <si>
    <t xml:space="preserve">INV-25135</t>
  </si>
  <si>
    <t xml:space="preserve">INV-25238</t>
  </si>
  <si>
    <t xml:space="preserve">INV-25150</t>
  </si>
  <si>
    <t xml:space="preserve">INV-25232</t>
  </si>
  <si>
    <t xml:space="preserve">CUST-010</t>
  </si>
  <si>
    <t xml:space="preserve">INV-25173</t>
  </si>
  <si>
    <t xml:space="preserve">INV-25156</t>
  </si>
  <si>
    <t xml:space="preserve">INV-25031</t>
  </si>
  <si>
    <t xml:space="preserve">INV-25178</t>
  </si>
  <si>
    <t xml:space="preserve">INV-25044</t>
  </si>
  <si>
    <t xml:space="preserve">INV-25152</t>
  </si>
  <si>
    <t xml:space="preserve">CUST-003</t>
  </si>
  <si>
    <t xml:space="preserve">INV-25138</t>
  </si>
  <si>
    <t xml:space="preserve">INV-25205</t>
  </si>
  <si>
    <t xml:space="preserve">INV-25030</t>
  </si>
  <si>
    <t xml:space="preserve">INV-25130</t>
  </si>
  <si>
    <t xml:space="preserve">INV-25208</t>
  </si>
  <si>
    <t xml:space="preserve">INV-25052</t>
  </si>
  <si>
    <t xml:space="preserve">INV-25177</t>
  </si>
  <si>
    <t xml:space="preserve">INV-25058</t>
  </si>
  <si>
    <t xml:space="preserve">INV-25241</t>
  </si>
  <si>
    <t xml:space="preserve">INV-25002</t>
  </si>
  <si>
    <t xml:space="preserve">INV-25037</t>
  </si>
  <si>
    <t xml:space="preserve">INV-25246</t>
  </si>
  <si>
    <t xml:space="preserve">INV-25005</t>
  </si>
  <si>
    <t xml:space="preserve">INV-25072</t>
  </si>
  <si>
    <t xml:space="preserve">INV-25100</t>
  </si>
  <si>
    <t xml:space="preserve">INV-25001</t>
  </si>
  <si>
    <t xml:space="preserve">INV-25067</t>
  </si>
  <si>
    <t xml:space="preserve">INV-25073</t>
  </si>
  <si>
    <t xml:space="preserve">INV-25033</t>
  </si>
  <si>
    <t xml:space="preserve">INV-25185</t>
  </si>
  <si>
    <t xml:space="preserve">INV-25017</t>
  </si>
  <si>
    <t xml:space="preserve">INV-25166</t>
  </si>
  <si>
    <t xml:space="preserve">INV-25245</t>
  </si>
  <si>
    <t xml:space="preserve">INV-25148</t>
  </si>
  <si>
    <t xml:space="preserve">INV-25176</t>
  </si>
  <si>
    <t xml:space="preserve">INV-25035</t>
  </si>
  <si>
    <t xml:space="preserve">INV-25160</t>
  </si>
  <si>
    <t xml:space="preserve">INV-25192</t>
  </si>
  <si>
    <t xml:space="preserve">INV-25191</t>
  </si>
  <si>
    <t xml:space="preserve">INV-25222</t>
  </si>
  <si>
    <t xml:space="preserve">INV-25254</t>
  </si>
  <si>
    <t xml:space="preserve">INV-25159</t>
  </si>
  <si>
    <t xml:space="preserve">INV-25142</t>
  </si>
  <si>
    <t xml:space="preserve">INV-25213</t>
  </si>
  <si>
    <t xml:space="preserve">INV-25099</t>
  </si>
  <si>
    <t xml:space="preserve">INV-25247</t>
  </si>
  <si>
    <t xml:space="preserve">INV-25076</t>
  </si>
  <si>
    <t xml:space="preserve">INV-25182</t>
  </si>
  <si>
    <t xml:space="preserve">INV-25087</t>
  </si>
  <si>
    <t xml:space="preserve">INV-25158</t>
  </si>
  <si>
    <t xml:space="preserve">INV-25195</t>
  </si>
  <si>
    <t xml:space="preserve">INV-25240</t>
  </si>
  <si>
    <t xml:space="preserve">INV-25203</t>
  </si>
  <si>
    <t xml:space="preserve">INV-25165</t>
  </si>
  <si>
    <t xml:space="preserve">INV-25126</t>
  </si>
  <si>
    <t xml:space="preserve">INV-25163</t>
  </si>
  <si>
    <t xml:space="preserve">INV-25223</t>
  </si>
  <si>
    <t xml:space="preserve">INV-25055</t>
  </si>
  <si>
    <t xml:space="preserve">INV-25066</t>
  </si>
  <si>
    <t xml:space="preserve">INV-25184</t>
  </si>
  <si>
    <t xml:space="preserve">INV-25188</t>
  </si>
  <si>
    <t xml:space="preserve">INV-25169</t>
  </si>
  <si>
    <t xml:space="preserve">INV-25078</t>
  </si>
  <si>
    <t xml:space="preserve">INV-25219</t>
  </si>
  <si>
    <t xml:space="preserve">INV-25042</t>
  </si>
  <si>
    <t xml:space="preserve">INV-25116</t>
  </si>
  <si>
    <t xml:space="preserve">INV-25063</t>
  </si>
  <si>
    <t xml:space="preserve">INV-25199</t>
  </si>
  <si>
    <t xml:space="preserve">INV-25075</t>
  </si>
  <si>
    <t xml:space="preserve">INV-25144</t>
  </si>
  <si>
    <t xml:space="preserve">INV-25237</t>
  </si>
  <si>
    <t xml:space="preserve">INV-25106</t>
  </si>
  <si>
    <t xml:space="preserve">INV-25007</t>
  </si>
  <si>
    <t xml:space="preserve">INV-25171</t>
  </si>
  <si>
    <t xml:space="preserve">INV-25023</t>
  </si>
  <si>
    <t xml:space="preserve">INV-25090</t>
  </si>
  <si>
    <t xml:space="preserve">INV-25117</t>
  </si>
  <si>
    <t xml:space="preserve">INV-25131</t>
  </si>
  <si>
    <t xml:space="preserve">INV-25145</t>
  </si>
  <si>
    <t xml:space="preserve">INV-25220</t>
  </si>
  <si>
    <t xml:space="preserve">INV-25069</t>
  </si>
  <si>
    <t xml:space="preserve">INV-25096</t>
  </si>
  <si>
    <t xml:space="preserve">INV-25139</t>
  </si>
  <si>
    <t xml:space="preserve">INV-25255</t>
  </si>
  <si>
    <t xml:space="preserve">INV-25032</t>
  </si>
  <si>
    <t xml:space="preserve">INV-25060</t>
  </si>
  <si>
    <t xml:space="preserve">INV-25181</t>
  </si>
  <si>
    <t xml:space="preserve">INV-25061</t>
  </si>
  <si>
    <t xml:space="preserve">INV-25025</t>
  </si>
  <si>
    <t xml:space="preserve">INV-25050</t>
  </si>
  <si>
    <t xml:space="preserve">INV-25146</t>
  </si>
  <si>
    <t xml:space="preserve">INV-25039</t>
  </si>
  <si>
    <t xml:space="preserve">INV-25103</t>
  </si>
  <si>
    <t xml:space="preserve">INV-25134</t>
  </si>
  <si>
    <t xml:space="preserve">INV-25114</t>
  </si>
  <si>
    <t xml:space="preserve">INV-25179</t>
  </si>
  <si>
    <t xml:space="preserve">INV-25119</t>
  </si>
  <si>
    <t xml:space="preserve">INV-25141</t>
  </si>
  <si>
    <t xml:space="preserve">INV-25209</t>
  </si>
  <si>
    <t xml:space="preserve">INV-25071</t>
  </si>
  <si>
    <t xml:space="preserve">INV-25085</t>
  </si>
  <si>
    <t xml:space="preserve">INV-25133</t>
  </si>
  <si>
    <t xml:space="preserve">INV-25107</t>
  </si>
  <si>
    <t xml:space="preserve">INV-25105</t>
  </si>
  <si>
    <t xml:space="preserve">INV-25112</t>
  </si>
  <si>
    <t xml:space="preserve">INV-25235</t>
  </si>
  <si>
    <t xml:space="preserve">INV-25054</t>
  </si>
  <si>
    <t xml:space="preserve">INV-25059</t>
  </si>
  <si>
    <t xml:space="preserve">INV-25068</t>
  </si>
  <si>
    <t xml:space="preserve">INV-25098</t>
  </si>
  <si>
    <t xml:space="preserve">INV-25161</t>
  </si>
  <si>
    <t xml:space="preserve">INV-25256</t>
  </si>
  <si>
    <t xml:space="preserve">INV-25011</t>
  </si>
  <si>
    <t xml:space="preserve">INV-25028</t>
  </si>
  <si>
    <t xml:space="preserve">INV-25127</t>
  </si>
  <si>
    <t xml:space="preserve">INV-25211</t>
  </si>
  <si>
    <t xml:space="preserve">INV-25104</t>
  </si>
  <si>
    <t xml:space="preserve">INV-25218</t>
  </si>
  <si>
    <t xml:space="preserve">INV-25048</t>
  </si>
  <si>
    <t xml:space="preserve">INV-25225</t>
  </si>
  <si>
    <t xml:space="preserve">INV-25036</t>
  </si>
  <si>
    <t xml:space="preserve">INV-25047</t>
  </si>
  <si>
    <t xml:space="preserve">INV-25094</t>
  </si>
  <si>
    <t xml:space="preserve">INV-25092</t>
  </si>
  <si>
    <t xml:space="preserve">INV-25226</t>
  </si>
  <si>
    <t xml:space="preserve">INV-25084</t>
  </si>
  <si>
    <t xml:space="preserve">INV-25118</t>
  </si>
  <si>
    <t xml:space="preserve">INV-25137</t>
  </si>
  <si>
    <t xml:space="preserve">INV-25019</t>
  </si>
  <si>
    <t xml:space="preserve">INV-25020</t>
  </si>
  <si>
    <t xml:space="preserve">INV-25190</t>
  </si>
  <si>
    <t xml:space="preserve">INV-25189</t>
  </si>
  <si>
    <t xml:space="preserve">INV-25155</t>
  </si>
  <si>
    <t xml:space="preserve">INV-25252</t>
  </si>
  <si>
    <t xml:space="preserve">INV-25062</t>
  </si>
  <si>
    <t xml:space="preserve">INV-25233</t>
  </si>
  <si>
    <t xml:space="preserve">INV-25070</t>
  </si>
  <si>
    <t xml:space="preserve">INV-25079</t>
  </si>
  <si>
    <t xml:space="preserve">INV-25259</t>
  </si>
  <si>
    <t xml:space="preserve">INV-25249</t>
  </si>
  <si>
    <t xml:space="preserve">INV-25250</t>
  </si>
  <si>
    <t xml:space="preserve">INV-25109</t>
  </si>
  <si>
    <t xml:space="preserve">INV-25186</t>
  </si>
  <si>
    <t xml:space="preserve">INV-25113</t>
  </si>
  <si>
    <t xml:space="preserve">INV-25115</t>
  </si>
  <si>
    <t xml:space="preserve">INV-25248</t>
  </si>
  <si>
    <t xml:space="preserve">INV-25193</t>
  </si>
  <si>
    <t xml:space="preserve">INV-25174</t>
  </si>
  <si>
    <t xml:space="preserve">INV-25228</t>
  </si>
  <si>
    <t xml:space="preserve">INV-25018</t>
  </si>
  <si>
    <t xml:space="preserve">INV-25022</t>
  </si>
  <si>
    <t xml:space="preserve">INV-25086</t>
  </si>
  <si>
    <t xml:space="preserve">INV-25049</t>
  </si>
  <si>
    <t xml:space="preserve">INV-25111</t>
  </si>
  <si>
    <t xml:space="preserve">INV-25129</t>
  </si>
  <si>
    <t xml:space="preserve">INV-25136</t>
  </si>
  <si>
    <t xml:space="preserve">INV-25180</t>
  </si>
  <si>
    <t xml:space="preserve">INV-25194</t>
  </si>
  <si>
    <t xml:space="preserve">INV-25214</t>
  </si>
  <si>
    <t xml:space="preserve">INV-25206</t>
  </si>
  <si>
    <t xml:space="preserve">INV-25251</t>
  </si>
  <si>
    <t xml:space="preserve">INV-25167</t>
  </si>
  <si>
    <t xml:space="preserve">INV-25215</t>
  </si>
  <si>
    <t xml:space="preserve">INV-25027</t>
  </si>
  <si>
    <t xml:space="preserve">INV-25124</t>
  </si>
  <si>
    <t xml:space="preserve">INV-25168</t>
  </si>
  <si>
    <t xml:space="preserve">INV-25108</t>
  </si>
  <si>
    <t xml:space="preserve">INV-25024</t>
  </si>
  <si>
    <t xml:space="preserve">INV-25040</t>
  </si>
  <si>
    <t xml:space="preserve">INV-25234</t>
  </si>
  <si>
    <t xml:space="preserve">INV-25008</t>
  </si>
  <si>
    <t xml:space="preserve">INV-25132</t>
  </si>
  <si>
    <t xml:space="preserve">INV-25026</t>
  </si>
  <si>
    <t xml:space="preserve">INV-25081</t>
  </si>
  <si>
    <t xml:space="preserve">INV-25154</t>
  </si>
  <si>
    <t xml:space="preserve">INV-25046</t>
  </si>
  <si>
    <t xml:space="preserve">INV-25041</t>
  </si>
  <si>
    <t xml:space="preserve">INV-25187</t>
  </si>
  <si>
    <t xml:space="preserve">INV-25016</t>
  </si>
  <si>
    <t xml:space="preserve">INV-25140</t>
  </si>
  <si>
    <t xml:space="preserve">INV-25051</t>
  </si>
  <si>
    <t xml:space="preserve">INV-25172</t>
  </si>
  <si>
    <t xml:space="preserve">INV-25236</t>
  </si>
  <si>
    <t xml:space="preserve">INV-25260</t>
  </si>
  <si>
    <t xml:space="preserve">INV-25216</t>
  </si>
  <si>
    <t xml:space="preserve">INV-25102</t>
  </si>
  <si>
    <t xml:space="preserve">INV-25212</t>
  </si>
  <si>
    <t xml:space="preserve">INV-25200</t>
  </si>
  <si>
    <t xml:space="preserve">INV-25009</t>
  </si>
  <si>
    <t xml:space="preserve">INV-25147</t>
  </si>
  <si>
    <t xml:space="preserve">INV-25151</t>
  </si>
  <si>
    <t xml:space="preserve">INV-25077</t>
  </si>
  <si>
    <t xml:space="preserve">INV-25227</t>
  </si>
  <si>
    <t xml:space="preserve">INV-25198</t>
  </si>
  <si>
    <t xml:space="preserve">INV-25253</t>
  </si>
  <si>
    <t xml:space="preserve">INV-25207</t>
  </si>
  <si>
    <t xml:space="preserve">INV-25162</t>
  </si>
  <si>
    <t xml:space="preserve">INV-25064</t>
  </si>
  <si>
    <t xml:space="preserve">INV-25014</t>
  </si>
  <si>
    <t xml:space="preserve">INV-25056</t>
  </si>
  <si>
    <t xml:space="preserve">INV-25003</t>
  </si>
  <si>
    <t xml:space="preserve">INV-25015</t>
  </si>
  <si>
    <t xml:space="preserve">INV-25175</t>
  </si>
  <si>
    <t xml:space="preserve">INV-25074</t>
  </si>
  <si>
    <t xml:space="preserve">INV-25123</t>
  </si>
  <si>
    <t xml:space="preserve">INV-25258</t>
  </si>
  <si>
    <t xml:space="preserve">INV-25012</t>
  </si>
  <si>
    <t xml:space="preserve">INV-25004</t>
  </si>
  <si>
    <t xml:space="preserve">INV-25157</t>
  </si>
  <si>
    <t xml:space="preserve">INV-25183</t>
  </si>
  <si>
    <t xml:space="preserve">INV-25210</t>
  </si>
  <si>
    <t xml:space="preserve">INV-25080</t>
  </si>
  <si>
    <t xml:space="preserve">INV-25095</t>
  </si>
  <si>
    <t xml:space="preserve">INV-25170</t>
  </si>
  <si>
    <t xml:space="preserve">INV-25034</t>
  </si>
  <si>
    <t xml:space="preserve">INV-25013</t>
  </si>
  <si>
    <t xml:space="preserve">INV-25242</t>
  </si>
  <si>
    <t xml:space="preserve">INV-25065</t>
  </si>
  <si>
    <t xml:space="preserve">INV-25197</t>
  </si>
  <si>
    <t xml:space="preserve">INV-25239</t>
  </si>
  <si>
    <t xml:space="preserve">INV-25257</t>
  </si>
  <si>
    <t xml:space="preserve">INV-25153</t>
  </si>
  <si>
    <t xml:space="preserve">INV-25202</t>
  </si>
  <si>
    <t xml:space="preserve">PC-RCP-0750</t>
  </si>
  <si>
    <t xml:space="preserve">INV-25221</t>
  </si>
  <si>
    <t xml:space="preserve">INV-25229</t>
  </si>
  <si>
    <t xml:space="preserve">INV-25243</t>
  </si>
  <si>
    <t xml:space="preserve">INV-25097</t>
  </si>
  <si>
    <t xml:space="preserve">INV-25143</t>
  </si>
  <si>
    <t xml:space="preserve">INV-25120</t>
  </si>
  <si>
    <t xml:space="preserve">INV-25125</t>
  </si>
  <si>
    <t xml:space="preserve">INV-25231</t>
  </si>
  <si>
    <t xml:space="preserve">INV-25089</t>
  </si>
  <si>
    <t xml:space="preserve">INV-25010</t>
  </si>
  <si>
    <t xml:space="preserve">INV-25038</t>
  </si>
  <si>
    <t xml:space="preserve">INV-25204</t>
  </si>
  <si>
    <t xml:space="preserve">INV-25043</t>
  </si>
  <si>
    <t xml:space="preserve">INV-25121</t>
  </si>
  <si>
    <t xml:space="preserve">INV-25196</t>
  </si>
  <si>
    <t xml:space="preserve">INV-25110</t>
  </si>
  <si>
    <t xml:space="preserve">INV-25149</t>
  </si>
  <si>
    <t xml:space="preserve">INV-25093</t>
  </si>
  <si>
    <t xml:space="preserve">INV-25224</t>
  </si>
  <si>
    <t xml:space="preserve">INV-25053</t>
  </si>
  <si>
    <t xml:space="preserve">INV-25057</t>
  </si>
  <si>
    <t xml:space="preserve">INV-25230</t>
  </si>
  <si>
    <t xml:space="preserve">INV-25045</t>
  </si>
  <si>
    <t xml:space="preserve">INV-25083</t>
  </si>
  <si>
    <t xml:space="preserve">INV-25164</t>
  </si>
  <si>
    <t xml:space="preserve">INV-25006</t>
  </si>
  <si>
    <t xml:space="preserve">Product Cost Roll-up</t>
  </si>
  <si>
    <t xml:space="preserve">Material cost from the BOM + estimated conversion cost, compared with 2025 average selling price.</t>
  </si>
  <si>
    <t xml:space="preserve">Item</t>
  </si>
  <si>
    <t xml:space="preserve">Description</t>
  </si>
  <si>
    <t xml:space="preserve">Category</t>
  </si>
  <si>
    <t xml:space="preserve">Material cost (CAD)</t>
  </si>
  <si>
    <t xml:space="preserve">Conversion cost (CAD)</t>
  </si>
  <si>
    <t xml:space="preserve">Total unit cost (CAD)</t>
  </si>
  <si>
    <t xml:space="preserve">List price (CAD)</t>
  </si>
  <si>
    <t xml:space="preserve">Avg selling price 2025 (CAD)</t>
  </si>
  <si>
    <t xml:space="preserve">Margin per unit (CAD)</t>
  </si>
  <si>
    <t xml:space="preserve">Margin %</t>
  </si>
  <si>
    <t xml:space="preserve">Cost-to-price ratio</t>
  </si>
  <si>
    <t xml:space="preserve">Domestic share of material cost</t>
  </si>
  <si>
    <t xml:space="preserve">BOM lines</t>
  </si>
  <si>
    <t xml:space="preserve">Lines to review</t>
  </si>
  <si>
    <t xml:space="preserve">Data status</t>
  </si>
  <si>
    <t xml:space="preserve">Note: 'Incomplete' items have BOM lines to review (missing cost, origin or part number). A missing cost means material cost is understated. See BOM (status = CHECK).</t>
  </si>
  <si>
    <t xml:space="preserve">Sourcing Analysis (2025)</t>
  </si>
  <si>
    <t xml:space="preserve">Material spend = BOM extended cost x units sold in 2025. Shows where purchased material comes from.</t>
  </si>
  <si>
    <t xml:space="preserve">Origin country</t>
  </si>
  <si>
    <t xml:space="preserve">Material spend 2025 (CAD)</t>
  </si>
  <si>
    <t xml:space="preserve">Share of spend</t>
  </si>
  <si>
    <t xml:space="preserve">Supplier</t>
  </si>
  <si>
    <t xml:space="preserve">Supplier name</t>
  </si>
  <si>
    <t xml:space="preserve">Country</t>
  </si>
  <si>
    <t xml:space="preserve">Lead time (days)</t>
  </si>
  <si>
    <t xml:space="preserve">Lead time flag</t>
  </si>
  <si>
    <t xml:space="preserve">UNKNOWN</t>
  </si>
  <si>
    <t xml:space="preserve">Total costed spend</t>
  </si>
  <si>
    <t xml:space="preserve">Check: all BOM spend</t>
  </si>
  <si>
    <t xml:space="preserve">Difference (should be 0)</t>
  </si>
  <si>
    <t xml:space="preserve">If the difference is not 0, add the missing country code to column A.</t>
  </si>
  <si>
    <t xml:space="preserve">(other)</t>
  </si>
  <si>
    <t xml:space="preserve">Not in supplier list</t>
  </si>
  <si>
    <t xml:space="preserve">Total</t>
  </si>
  <si>
    <t xml:space="preserve">Sales and Margin Summary (2025)</t>
  </si>
  <si>
    <t xml:space="preserve">Built with SUMIFS. A PivotTable version is one of the exercises in docs/EXERCISES.md.</t>
  </si>
  <si>
    <t xml:space="preserve">Key figures</t>
  </si>
  <si>
    <t xml:space="preserve">Revenue, all priced lines (CAD)</t>
  </si>
  <si>
    <t xml:space="preserve">Revenue with known cost (CAD)</t>
  </si>
  <si>
    <t xml:space="preserve">Cost of sales (CAD)</t>
  </si>
  <si>
    <t xml:space="preserve">Gross margin (CAD)</t>
  </si>
  <si>
    <t xml:space="preserve">Gross margin %</t>
  </si>
  <si>
    <t xml:space="preserve">Units shipped</t>
  </si>
  <si>
    <t xml:space="preserve">Invoice lines</t>
  </si>
  <si>
    <t xml:space="preserve">Invoice lines to review</t>
  </si>
  <si>
    <t xml:space="preserve">By product category</t>
  </si>
  <si>
    <t xml:space="preserve">Units</t>
  </si>
  <si>
    <t xml:space="preserve">Revenue (CAD)</t>
  </si>
  <si>
    <t xml:space="preserve">GM %</t>
  </si>
  <si>
    <t xml:space="preserve">Totals exclude invoice lines for unknown items. Items with incomplete BOM costs overstate margin.</t>
  </si>
  <si>
    <t xml:space="preserve">By ship-to country</t>
  </si>
  <si>
    <t xml:space="preserve">Share of revenue</t>
  </si>
  <si>
    <t xml:space="preserve">Data Quality Checks</t>
  </si>
  <si>
    <t xml:space="preserve">Each check counts flagged rows on its source sheet. Filter that sheet's 'status' column to CHECK to see them.</t>
  </si>
  <si>
    <t xml:space="preserve">ID</t>
  </si>
  <si>
    <t xml:space="preserve">Check</t>
  </si>
  <si>
    <t xml:space="preserve">How it is tested</t>
  </si>
  <si>
    <t xml:space="preserve">Rows flagged</t>
  </si>
  <si>
    <t xml:space="preserve">Severity</t>
  </si>
  <si>
    <t xml:space="preserve">Suggested action</t>
  </si>
  <si>
    <t xml:space="preserve">DQ-01</t>
  </si>
  <si>
    <t xml:space="preserve">HS code missing or wrong format</t>
  </si>
  <si>
    <t xml:space="preserve">Blank, not 7 characters, or no dot in position 5 (####.##)</t>
  </si>
  <si>
    <t xml:space="preserve">Medium</t>
  </si>
  <si>
    <t xml:space="preserve">Confirm HS code with the product team</t>
  </si>
  <si>
    <t xml:space="preserve">DQ-02</t>
  </si>
  <si>
    <t xml:space="preserve">Unit cost missing</t>
  </si>
  <si>
    <t xml:space="preserve">unit_cost is blank</t>
  </si>
  <si>
    <t xml:space="preserve">High</t>
  </si>
  <si>
    <t xml:space="preserve">Get latest purchase price from purchasing</t>
  </si>
  <si>
    <t xml:space="preserve">DQ-03</t>
  </si>
  <si>
    <t xml:space="preserve">Country of origin missing</t>
  </si>
  <si>
    <t xml:space="preserve">origin_country is blank</t>
  </si>
  <si>
    <t xml:space="preserve">Request origin information from the supplier</t>
  </si>
  <si>
    <t xml:space="preserve">DQ-04</t>
  </si>
  <si>
    <t xml:space="preserve">Supplier not in supplier list</t>
  </si>
  <si>
    <t xml:space="preserve">supplier_id has no match on Suppliers</t>
  </si>
  <si>
    <t xml:space="preserve">Add the supplier or correct the ID</t>
  </si>
  <si>
    <t xml:space="preserve">DQ-05</t>
  </si>
  <si>
    <t xml:space="preserve">Duplicate component code</t>
  </si>
  <si>
    <t xml:space="preserve">Same code after TRIM + UPPER appears more than once</t>
  </si>
  <si>
    <t xml:space="preserve">Keep one record; confirm which cost is current</t>
  </si>
  <si>
    <t xml:space="preserve">DQ-06</t>
  </si>
  <si>
    <t xml:space="preserve">HS code format</t>
  </si>
  <si>
    <t xml:space="preserve">Blank, not 7 characters, or no dot in position 5</t>
  </si>
  <si>
    <t xml:space="preserve">Low</t>
  </si>
  <si>
    <t xml:space="preserve">Correct the format (####.##)</t>
  </si>
  <si>
    <t xml:space="preserve">DQ-07</t>
  </si>
  <si>
    <t xml:space="preserve">Component code not found</t>
  </si>
  <si>
    <t xml:space="preserve">comp_key has no match on Components</t>
  </si>
  <si>
    <t xml:space="preserve">Ask engineering for the correct part number</t>
  </si>
  <si>
    <t xml:space="preserve">DQ-08</t>
  </si>
  <si>
    <t xml:space="preserve">No unit conversion available</t>
  </si>
  <si>
    <t xml:space="preserve">BOM unit differs from component unit and no factor exists</t>
  </si>
  <si>
    <t xml:space="preserve">Add the factor on Assumptions</t>
  </si>
  <si>
    <t xml:space="preserve">DQ-09</t>
  </si>
  <si>
    <t xml:space="preserve">Line has no cost</t>
  </si>
  <si>
    <t xml:space="preserve">Component found but its unit cost is blank</t>
  </si>
  <si>
    <t xml:space="preserve">Fix the component cost (see Components)</t>
  </si>
  <si>
    <t xml:space="preserve">DQ-10</t>
  </si>
  <si>
    <t xml:space="preserve">Line has no country of origin</t>
  </si>
  <si>
    <t xml:space="preserve">Component found but origin is blank</t>
  </si>
  <si>
    <t xml:space="preserve">Fix the component origin (see Components)</t>
  </si>
  <si>
    <t xml:space="preserve">DQ-11</t>
  </si>
  <si>
    <t xml:space="preserve">Unit converted automatically (info)</t>
  </si>
  <si>
    <t xml:space="preserve">BOM unit differs from component unit; factor applied</t>
  </si>
  <si>
    <t xml:space="preserve">Info</t>
  </si>
  <si>
    <t xml:space="preserve">Confirm the BOM unit is intended (e.g. LB vs KG)</t>
  </si>
  <si>
    <t xml:space="preserve">DQ-12</t>
  </si>
  <si>
    <t xml:space="preserve">Code cleaned by TRIM/UPPER (info)</t>
  </si>
  <si>
    <t xml:space="preserve">Original code differs from cleaned key (case or spaces)</t>
  </si>
  <si>
    <t xml:space="preserve">Standardise the code in the source system</t>
  </si>
  <si>
    <t xml:space="preserve">DQ-13</t>
  </si>
  <si>
    <t xml:space="preserve">Unit price missing</t>
  </si>
  <si>
    <t xml:space="preserve">unit_price_cad is blank</t>
  </si>
  <si>
    <t xml:space="preserve">Check the invoice in the ERP</t>
  </si>
  <si>
    <t xml:space="preserve">DQ-14</t>
  </si>
  <si>
    <t xml:space="preserve">Item not in item list</t>
  </si>
  <si>
    <t xml:space="preserve">item_no has no match on Items</t>
  </si>
  <si>
    <t xml:space="preserve">Add the item or correct the item number</t>
  </si>
  <si>
    <t xml:space="preserve">DQ-15</t>
  </si>
  <si>
    <t xml:space="preserve">Discount above limit</t>
  </si>
  <si>
    <t xml:space="preserve">Price is more than the Assumptions threshold below list price</t>
  </si>
  <si>
    <t xml:space="preserve">Confirm the discount was approved</t>
  </si>
  <si>
    <t xml:space="preserve">Rows with status CHECK, by sheet</t>
  </si>
  <si>
    <t xml:space="preserve">Open Questions Log</t>
  </si>
  <si>
    <t xml:space="preserve">Questions raised by the data checks. Update status and answer as information arrives.</t>
  </si>
  <si>
    <t xml:space="preserve">Q#</t>
  </si>
  <si>
    <t xml:space="preserve">Date raised</t>
  </si>
  <si>
    <t xml:space="preserve">Related check</t>
  </si>
  <si>
    <t xml:space="preserve">Item / component</t>
  </si>
  <si>
    <t xml:space="preserve">Question</t>
  </si>
  <si>
    <t xml:space="preserve">Ask</t>
  </si>
  <si>
    <t xml:space="preserve">Status</t>
  </si>
  <si>
    <t xml:space="preserve">Answer / notes</t>
  </si>
  <si>
    <t xml:space="preserve">Q01</t>
  </si>
  <si>
    <t xml:space="preserve">What is the country of origin for the 1200 mm gasket? Request a supplier declaration.</t>
  </si>
  <si>
    <t xml:space="preserve">Purchasing</t>
  </si>
  <si>
    <t xml:space="preserve">Open</t>
  </si>
  <si>
    <t xml:space="preserve">Q02</t>
  </si>
  <si>
    <t xml:space="preserve">What is the current purchase price for butyl joint sealant (per metre)?</t>
  </si>
  <si>
    <t xml:space="preserve">Q03</t>
  </si>
  <si>
    <t xml:space="preserve">Supplier SUP-11 is not in the supplier list. Is this a new vendor or a wrong ID?</t>
  </si>
  <si>
    <t xml:space="preserve">Q04</t>
  </si>
  <si>
    <t xml:space="preserve">Two records exist for RB-15M ($1.31 and $1.29/kg). Which price is current?</t>
  </si>
  <si>
    <t xml:space="preserve">Q05</t>
  </si>
  <si>
    <t xml:space="preserve">BOM uses RB-12M, which does not exist. Should it be RB-10M or RB-15M?</t>
  </si>
  <si>
    <t xml:space="preserve">Engineering</t>
  </si>
  <si>
    <t xml:space="preserve">Q06</t>
  </si>
  <si>
    <t xml:space="preserve">Rebar quantity is in LB, other BOMs use KG. Is 121 lb (about 55 kg) correct?</t>
  </si>
  <si>
    <t xml:space="preserve">Q07</t>
  </si>
  <si>
    <t xml:space="preserve">HS code is missing for the 250 mm hollow-core slab. Confirm the classification.</t>
  </si>
  <si>
    <t xml:space="preserve">Product team</t>
  </si>
  <si>
    <t xml:space="preserve">Q08</t>
  </si>
  <si>
    <t xml:space="preserve">Invoice lists item PC-RCP-0750, which is not in the item list. New product or typo?</t>
  </si>
  <si>
    <t xml:space="preserve">Q09</t>
  </si>
  <si>
    <t xml:space="preserve">(2 invoices)</t>
  </si>
  <si>
    <t xml:space="preserve">Two invoices are priced 30-38% below list price. Were these discounts approved?</t>
  </si>
  <si>
    <t xml:space="preserve">Q10</t>
  </si>
  <si>
    <t xml:space="preserve">Two invoice lines have no unit price. Can the price be confirmed from the ERP?</t>
  </si>
  <si>
    <t xml:space="preserve">Accounting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</si>
</sst>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0.########"/>
    <numFmt numFmtId="167" formatCode="0.0%;\(0.0%\);\-"/>
    <numFmt numFmtId="168" formatCode="#,##0"/>
    <numFmt numFmtId="169" formatCode="\$#,##0.00;&quot;($&quot;#,##0.00\);\-"/>
    <numFmt numFmtId="170" formatCode="#,##0.####"/>
    <numFmt numFmtId="171" formatCode="0.####"/>
    <numFmt numFmtId="172" formatCode="\$#,##0;&quot;($&quot;#,##0\);\-"/>
    <numFmt numFmtId="173" formatCode="yyyy\-mm\-dd"/>
    <numFmt numFmtId="174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5B7F95"/>
        <bgColor rgb="FF808080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7F95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C55A11"/>
      <rgbColor rgb="FF5B7F9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/>
      <c r="B5" s="4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5"/>
      <c r="B18" s="4"/>
    </row>
    <row r="19" customFormat="false" ht="15" hidden="false" customHeight="false" outlineLevel="0" collapsed="false">
      <c r="A19" s="3" t="s">
        <v>28</v>
      </c>
      <c r="B19" s="4"/>
    </row>
    <row r="20" customFormat="false" ht="15" hidden="false" customHeight="false" outlineLevel="0" collapsed="false">
      <c r="A20" s="8" t="s">
        <v>29</v>
      </c>
      <c r="B20" s="4" t="s">
        <v>30</v>
      </c>
    </row>
    <row r="21" customFormat="false" ht="15" hidden="false" customHeight="false" outlineLevel="0" collapsed="false">
      <c r="A21" s="3" t="s">
        <v>31</v>
      </c>
      <c r="B21" s="4" t="s">
        <v>32</v>
      </c>
    </row>
    <row r="22" customFormat="false" ht="15" hidden="false" customHeight="false" outlineLevel="0" collapsed="false">
      <c r="A22" s="9" t="s">
        <v>33</v>
      </c>
      <c r="B22" s="4" t="s">
        <v>34</v>
      </c>
    </row>
    <row r="23" customFormat="false" ht="15" hidden="false" customHeight="false" outlineLevel="0" collapsed="false">
      <c r="A23" s="10" t="s">
        <v>35</v>
      </c>
      <c r="B23" s="4" t="s">
        <v>36</v>
      </c>
    </row>
    <row r="24" customFormat="false" ht="15" hidden="false" customHeight="false" outlineLevel="0" collapsed="false">
      <c r="A24" s="6" t="s">
        <v>37</v>
      </c>
      <c r="B24" s="4" t="s">
        <v>38</v>
      </c>
    </row>
    <row r="25" customFormat="false" ht="15" hidden="false" customHeight="false" outlineLevel="0" collapsed="false">
      <c r="A25" s="11" t="s">
        <v>39</v>
      </c>
      <c r="B25" s="4" t="s">
        <v>40</v>
      </c>
    </row>
    <row r="26" customFormat="false" ht="15" hidden="false" customHeight="false" outlineLevel="0" collapsed="false">
      <c r="A26" s="3" t="s">
        <v>41</v>
      </c>
      <c r="B26" s="4" t="s">
        <v>42</v>
      </c>
    </row>
    <row r="27" customFormat="false" ht="15" hidden="false" customHeight="false" outlineLevel="0" collapsed="false">
      <c r="A27" s="5"/>
      <c r="B27" s="4"/>
    </row>
    <row r="28" customFormat="false" ht="15" hidden="false" customHeight="false" outlineLevel="0" collapsed="false">
      <c r="A28" s="3" t="s">
        <v>43</v>
      </c>
      <c r="B28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B4" s="3" t="s">
        <v>47</v>
      </c>
    </row>
    <row r="5" customFormat="false" ht="15" hidden="false" customHeight="false" outlineLevel="0" collapsed="false">
      <c r="B5" s="11" t="s">
        <v>48</v>
      </c>
      <c r="C5" s="11" t="s">
        <v>49</v>
      </c>
      <c r="D5" s="11" t="s">
        <v>50</v>
      </c>
    </row>
    <row r="6" customFormat="false" ht="15" hidden="false" customHeight="false" outlineLevel="0" collapsed="false">
      <c r="B6" s="12" t="s">
        <v>51</v>
      </c>
      <c r="C6" s="13" t="n">
        <v>1</v>
      </c>
      <c r="D6" s="14" t="s">
        <v>52</v>
      </c>
    </row>
    <row r="7" customFormat="false" ht="15" hidden="false" customHeight="false" outlineLevel="0" collapsed="false">
      <c r="B7" s="12" t="s">
        <v>53</v>
      </c>
      <c r="C7" s="13" t="n">
        <v>1.37</v>
      </c>
      <c r="D7" s="14" t="s">
        <v>54</v>
      </c>
    </row>
    <row r="8" customFormat="false" ht="15" hidden="false" customHeight="false" outlineLevel="0" collapsed="false">
      <c r="B8" s="12" t="s">
        <v>55</v>
      </c>
      <c r="C8" s="13" t="n">
        <v>1.5</v>
      </c>
      <c r="D8" s="14" t="s">
        <v>54</v>
      </c>
    </row>
    <row r="11" customFormat="false" ht="15" hidden="false" customHeight="false" outlineLevel="0" collapsed="false">
      <c r="B11" s="3" t="s">
        <v>56</v>
      </c>
    </row>
    <row r="12" customFormat="false" ht="15" hidden="false" customHeight="false" outlineLevel="0" collapsed="false">
      <c r="B12" s="11" t="s">
        <v>57</v>
      </c>
      <c r="C12" s="11" t="s">
        <v>58</v>
      </c>
      <c r="D12" s="11" t="s">
        <v>59</v>
      </c>
      <c r="E12" s="11" t="s">
        <v>60</v>
      </c>
      <c r="F12" s="11" t="s">
        <v>50</v>
      </c>
    </row>
    <row r="13" customFormat="false" ht="15" hidden="false" customHeight="false" outlineLevel="0" collapsed="false">
      <c r="B13" s="15" t="str">
        <f aca="false">C13&amp;"&gt;"&amp;D13</f>
        <v>LB&gt;KG</v>
      </c>
      <c r="C13" s="12" t="s">
        <v>61</v>
      </c>
      <c r="D13" s="12" t="s">
        <v>62</v>
      </c>
      <c r="E13" s="16" t="n">
        <v>0.45359237</v>
      </c>
      <c r="F13" s="14" t="s">
        <v>63</v>
      </c>
    </row>
    <row r="14" customFormat="false" ht="15" hidden="false" customHeight="false" outlineLevel="0" collapsed="false">
      <c r="B14" s="15" t="str">
        <f aca="false">C14&amp;"&gt;"&amp;D14</f>
        <v>G&gt;KG</v>
      </c>
      <c r="C14" s="12" t="s">
        <v>64</v>
      </c>
      <c r="D14" s="12" t="s">
        <v>62</v>
      </c>
      <c r="E14" s="16" t="n">
        <v>0.001</v>
      </c>
      <c r="F14" s="14" t="s">
        <v>65</v>
      </c>
    </row>
    <row r="15" customFormat="false" ht="15" hidden="false" customHeight="false" outlineLevel="0" collapsed="false">
      <c r="B15" s="15" t="str">
        <f aca="false">C15&amp;"&gt;"&amp;D15</f>
        <v>KG&gt;T</v>
      </c>
      <c r="C15" s="12" t="s">
        <v>62</v>
      </c>
      <c r="D15" s="12" t="s">
        <v>66</v>
      </c>
      <c r="E15" s="16" t="n">
        <v>0.001</v>
      </c>
      <c r="F15" s="14" t="s">
        <v>67</v>
      </c>
    </row>
    <row r="18" customFormat="false" ht="15" hidden="false" customHeight="false" outlineLevel="0" collapsed="false">
      <c r="B18" s="3" t="s">
        <v>68</v>
      </c>
    </row>
    <row r="19" customFormat="false" ht="15" hidden="false" customHeight="false" outlineLevel="0" collapsed="false">
      <c r="B19" s="15" t="s">
        <v>69</v>
      </c>
      <c r="C19" s="17" t="s">
        <v>70</v>
      </c>
      <c r="D19" s="14" t="s">
        <v>71</v>
      </c>
    </row>
    <row r="20" customFormat="false" ht="15" hidden="false" customHeight="false" outlineLevel="0" collapsed="false">
      <c r="B20" s="15" t="s">
        <v>72</v>
      </c>
      <c r="C20" s="18" t="n">
        <v>0.2</v>
      </c>
      <c r="D20" s="14" t="s">
        <v>73</v>
      </c>
    </row>
    <row r="21" customFormat="false" ht="15" hidden="false" customHeight="false" outlineLevel="0" collapsed="false">
      <c r="B21" s="15" t="s">
        <v>74</v>
      </c>
      <c r="C21" s="19" t="n">
        <v>30</v>
      </c>
      <c r="D21" s="14" t="s">
        <v>75</v>
      </c>
    </row>
    <row r="24" customFormat="false" ht="15" hidden="false" customHeight="false" outlineLevel="0" collapsed="false">
      <c r="B24" s="3" t="s">
        <v>76</v>
      </c>
    </row>
    <row r="25" customFormat="false" ht="15" hidden="false" customHeight="false" outlineLevel="0" collapsed="false">
      <c r="B25" s="3" t="s">
        <v>77</v>
      </c>
      <c r="C25" s="5" t="s">
        <v>78</v>
      </c>
    </row>
    <row r="26" customFormat="false" ht="15" hidden="false" customHeight="false" outlineLevel="0" collapsed="false">
      <c r="B26" s="3" t="s">
        <v>79</v>
      </c>
      <c r="C26" s="5" t="s">
        <v>80</v>
      </c>
    </row>
    <row r="27" customFormat="false" ht="15" hidden="false" customHeight="false" outlineLevel="0" collapsed="false">
      <c r="B27" s="3" t="s">
        <v>81</v>
      </c>
      <c r="C27" s="5" t="s">
        <v>82</v>
      </c>
    </row>
    <row r="28" customFormat="false" ht="15" hidden="false" customHeight="false" outlineLevel="0" collapsed="false">
      <c r="B28" s="3" t="s">
        <v>83</v>
      </c>
      <c r="C28" s="5" t="s">
        <v>84</v>
      </c>
    </row>
    <row r="29" customFormat="false" ht="15" hidden="false" customHeight="false" outlineLevel="0" collapsed="false">
      <c r="B29" s="3" t="s">
        <v>85</v>
      </c>
      <c r="C29" s="5" t="s">
        <v>86</v>
      </c>
    </row>
    <row r="30" customFormat="false" ht="15" hidden="false" customHeight="false" outlineLevel="0" collapsed="false">
      <c r="B30" s="3" t="s">
        <v>87</v>
      </c>
      <c r="C30" s="5" t="s">
        <v>88</v>
      </c>
    </row>
    <row r="31" customFormat="false" ht="15" hidden="false" customHeight="false" outlineLevel="0" collapsed="false">
      <c r="B31" s="3" t="s">
        <v>89</v>
      </c>
      <c r="C31" s="5" t="s">
        <v>90</v>
      </c>
    </row>
    <row r="32" customFormat="false" ht="15" hidden="false" customHeight="false" outlineLevel="0" collapsed="false">
      <c r="B32" s="3" t="s">
        <v>91</v>
      </c>
      <c r="C32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30"/>
    <col collapsed="false" customWidth="true" hidden="false" outlineLevel="0" max="10" min="10" style="0" width="9"/>
  </cols>
  <sheetData>
    <row r="1" customFormat="false" ht="30" hidden="false" customHeight="true" outlineLevel="0" collapsed="false">
      <c r="A1" s="20" t="s">
        <v>93</v>
      </c>
      <c r="B1" s="20" t="s">
        <v>94</v>
      </c>
      <c r="C1" s="20" t="s">
        <v>95</v>
      </c>
      <c r="D1" s="20" t="s">
        <v>96</v>
      </c>
      <c r="E1" s="20" t="s">
        <v>97</v>
      </c>
      <c r="F1" s="20" t="s">
        <v>98</v>
      </c>
      <c r="G1" s="20" t="s">
        <v>99</v>
      </c>
      <c r="H1" s="21" t="s">
        <v>100</v>
      </c>
      <c r="I1" s="21" t="s">
        <v>101</v>
      </c>
      <c r="J1" s="21" t="s">
        <v>102</v>
      </c>
    </row>
    <row r="2" customFormat="false" ht="15" hidden="false" customHeight="false" outlineLevel="0" collapsed="false">
      <c r="A2" s="12" t="s">
        <v>103</v>
      </c>
      <c r="B2" s="12" t="s">
        <v>104</v>
      </c>
      <c r="C2" s="12" t="s">
        <v>105</v>
      </c>
      <c r="D2" s="12" t="s">
        <v>106</v>
      </c>
      <c r="E2" s="12" t="s">
        <v>107</v>
      </c>
      <c r="F2" s="22" t="n">
        <v>640</v>
      </c>
      <c r="G2" s="22" t="n">
        <v>310</v>
      </c>
      <c r="H2" s="15" t="str">
        <f aca="false">UPPER(TRIM(A2))</f>
        <v>PC-RCP-0600</v>
      </c>
      <c r="I2" s="15" t="str">
        <f aca="false">IF(OR(E2="",LEN(E2)&lt;&gt;7,MID(E2,5,1)&lt;&gt;"."),"HS code missing/format; ","")&amp;IF(COUNTIF($H$2:$H$500,H2)&gt;1,"Duplicate item; ","")</f>
        <v/>
      </c>
      <c r="J2" s="15" t="str">
        <f aca="false">IF(I2="","OK","CHECK")</f>
        <v>OK</v>
      </c>
    </row>
    <row r="3" customFormat="false" ht="15" hidden="false" customHeight="false" outlineLevel="0" collapsed="false">
      <c r="A3" s="12" t="s">
        <v>108</v>
      </c>
      <c r="B3" s="12" t="s">
        <v>109</v>
      </c>
      <c r="C3" s="12" t="s">
        <v>105</v>
      </c>
      <c r="D3" s="12" t="s">
        <v>106</v>
      </c>
      <c r="E3" s="12" t="s">
        <v>107</v>
      </c>
      <c r="F3" s="22" t="n">
        <v>1150</v>
      </c>
      <c r="G3" s="22" t="n">
        <v>540</v>
      </c>
      <c r="H3" s="15" t="str">
        <f aca="false">UPPER(TRIM(A3))</f>
        <v>PC-RCP-0900</v>
      </c>
      <c r="I3" s="15" t="str">
        <f aca="false">IF(OR(E3="",LEN(E3)&lt;&gt;7,MID(E3,5,1)&lt;&gt;"."),"HS code missing/format; ","")&amp;IF(COUNTIF($H$2:$H$500,H3)&gt;1,"Duplicate item; ","")</f>
        <v/>
      </c>
      <c r="J3" s="15" t="str">
        <f aca="false">IF(I3="","OK","CHECK")</f>
        <v>OK</v>
      </c>
    </row>
    <row r="4" customFormat="false" ht="15" hidden="false" customHeight="false" outlineLevel="0" collapsed="false">
      <c r="A4" s="12" t="s">
        <v>110</v>
      </c>
      <c r="B4" s="12" t="s">
        <v>111</v>
      </c>
      <c r="C4" s="12" t="s">
        <v>105</v>
      </c>
      <c r="D4" s="12" t="s">
        <v>106</v>
      </c>
      <c r="E4" s="12" t="s">
        <v>107</v>
      </c>
      <c r="F4" s="22" t="n">
        <v>1890</v>
      </c>
      <c r="G4" s="22" t="n">
        <v>860</v>
      </c>
      <c r="H4" s="15" t="str">
        <f aca="false">UPPER(TRIM(A4))</f>
        <v>PC-RCP-1200</v>
      </c>
      <c r="I4" s="15" t="str">
        <f aca="false">IF(OR(E4="",LEN(E4)&lt;&gt;7,MID(E4,5,1)&lt;&gt;"."),"HS code missing/format; ","")&amp;IF(COUNTIF($H$2:$H$500,H4)&gt;1,"Duplicate item; ","")</f>
        <v/>
      </c>
      <c r="J4" s="15" t="str">
        <f aca="false">IF(I4="","OK","CHECK")</f>
        <v>OK</v>
      </c>
    </row>
    <row r="5" customFormat="false" ht="15" hidden="false" customHeight="false" outlineLevel="0" collapsed="false">
      <c r="A5" s="12" t="s">
        <v>112</v>
      </c>
      <c r="B5" s="12" t="s">
        <v>113</v>
      </c>
      <c r="C5" s="12" t="s">
        <v>114</v>
      </c>
      <c r="D5" s="12" t="s">
        <v>106</v>
      </c>
      <c r="E5" s="12" t="s">
        <v>107</v>
      </c>
      <c r="F5" s="22" t="n">
        <v>4200</v>
      </c>
      <c r="G5" s="22" t="n">
        <v>1950</v>
      </c>
      <c r="H5" s="15" t="str">
        <f aca="false">UPPER(TRIM(A5))</f>
        <v>PC-BOX-1812</v>
      </c>
      <c r="I5" s="15" t="str">
        <f aca="false">IF(OR(E5="",LEN(E5)&lt;&gt;7,MID(E5,5,1)&lt;&gt;"."),"HS code missing/format; ","")&amp;IF(COUNTIF($H$2:$H$500,H5)&gt;1,"Duplicate item; ","")</f>
        <v/>
      </c>
      <c r="J5" s="15" t="str">
        <f aca="false">IF(I5="","OK","CHECK")</f>
        <v>OK</v>
      </c>
    </row>
    <row r="6" customFormat="false" ht="15" hidden="false" customHeight="false" outlineLevel="0" collapsed="false">
      <c r="A6" s="12" t="s">
        <v>115</v>
      </c>
      <c r="B6" s="12" t="s">
        <v>116</v>
      </c>
      <c r="C6" s="12" t="s">
        <v>117</v>
      </c>
      <c r="D6" s="12" t="s">
        <v>106</v>
      </c>
      <c r="E6" s="12" t="s">
        <v>107</v>
      </c>
      <c r="F6" s="22" t="n">
        <v>980</v>
      </c>
      <c r="G6" s="22" t="n">
        <v>470</v>
      </c>
      <c r="H6" s="15" t="str">
        <f aca="false">UPPER(TRIM(A6))</f>
        <v>PC-MH-1050B</v>
      </c>
      <c r="I6" s="15" t="str">
        <f aca="false">IF(OR(E6="",LEN(E6)&lt;&gt;7,MID(E6,5,1)&lt;&gt;"."),"HS code missing/format; ","")&amp;IF(COUNTIF($H$2:$H$500,H6)&gt;1,"Duplicate item; ","")</f>
        <v/>
      </c>
      <c r="J6" s="15" t="str">
        <f aca="false">IF(I6="","OK","CHECK")</f>
        <v>OK</v>
      </c>
    </row>
    <row r="7" customFormat="false" ht="15" hidden="false" customHeight="false" outlineLevel="0" collapsed="false">
      <c r="A7" s="12" t="s">
        <v>118</v>
      </c>
      <c r="B7" s="12" t="s">
        <v>119</v>
      </c>
      <c r="C7" s="12" t="s">
        <v>117</v>
      </c>
      <c r="D7" s="12" t="s">
        <v>106</v>
      </c>
      <c r="E7" s="12" t="s">
        <v>107</v>
      </c>
      <c r="F7" s="22" t="n">
        <v>1240</v>
      </c>
      <c r="G7" s="22" t="n">
        <v>600</v>
      </c>
      <c r="H7" s="15" t="str">
        <f aca="false">UPPER(TRIM(A7))</f>
        <v>PC-MH-1200B</v>
      </c>
      <c r="I7" s="15" t="str">
        <f aca="false">IF(OR(E7="",LEN(E7)&lt;&gt;7,MID(E7,5,1)&lt;&gt;"."),"HS code missing/format; ","")&amp;IF(COUNTIF($H$2:$H$500,H7)&gt;1,"Duplicate item; ","")</f>
        <v/>
      </c>
      <c r="J7" s="15" t="str">
        <f aca="false">IF(I7="","OK","CHECK")</f>
        <v>OK</v>
      </c>
    </row>
    <row r="8" customFormat="false" ht="15" hidden="false" customHeight="false" outlineLevel="0" collapsed="false">
      <c r="A8" s="12" t="s">
        <v>120</v>
      </c>
      <c r="B8" s="12" t="s">
        <v>121</v>
      </c>
      <c r="C8" s="12" t="s">
        <v>117</v>
      </c>
      <c r="D8" s="12" t="s">
        <v>106</v>
      </c>
      <c r="E8" s="12" t="s">
        <v>107</v>
      </c>
      <c r="F8" s="22" t="n">
        <v>520</v>
      </c>
      <c r="G8" s="22" t="n">
        <v>300</v>
      </c>
      <c r="H8" s="15" t="str">
        <f aca="false">UPPER(TRIM(A8))</f>
        <v>PC-MH-1200R</v>
      </c>
      <c r="I8" s="15" t="str">
        <f aca="false">IF(OR(E8="",LEN(E8)&lt;&gt;7,MID(E8,5,1)&lt;&gt;"."),"HS code missing/format; ","")&amp;IF(COUNTIF($H$2:$H$500,H8)&gt;1,"Duplicate item; ","")</f>
        <v/>
      </c>
      <c r="J8" s="15" t="str">
        <f aca="false">IF(I8="","OK","CHECK")</f>
        <v>OK</v>
      </c>
    </row>
    <row r="9" customFormat="false" ht="15" hidden="false" customHeight="false" outlineLevel="0" collapsed="false">
      <c r="A9" s="12" t="s">
        <v>122</v>
      </c>
      <c r="B9" s="12" t="s">
        <v>123</v>
      </c>
      <c r="C9" s="12" t="s">
        <v>124</v>
      </c>
      <c r="D9" s="12" t="s">
        <v>106</v>
      </c>
      <c r="E9" s="12" t="s">
        <v>107</v>
      </c>
      <c r="F9" s="22" t="n">
        <v>690</v>
      </c>
      <c r="G9" s="22" t="n">
        <v>170</v>
      </c>
      <c r="H9" s="15" t="str">
        <f aca="false">UPPER(TRIM(A9))</f>
        <v>PC-CB-0600</v>
      </c>
      <c r="I9" s="15" t="str">
        <f aca="false">IF(OR(E9="",LEN(E9)&lt;&gt;7,MID(E9,5,1)&lt;&gt;"."),"HS code missing/format; ","")&amp;IF(COUNTIF($H$2:$H$500,H9)&gt;1,"Duplicate item; ","")</f>
        <v/>
      </c>
      <c r="J9" s="15" t="str">
        <f aca="false">IF(I9="","OK","CHECK")</f>
        <v>OK</v>
      </c>
    </row>
    <row r="10" customFormat="false" ht="15" hidden="false" customHeight="false" outlineLevel="0" collapsed="false">
      <c r="A10" s="12" t="s">
        <v>125</v>
      </c>
      <c r="B10" s="12" t="s">
        <v>126</v>
      </c>
      <c r="C10" s="12" t="s">
        <v>127</v>
      </c>
      <c r="D10" s="12" t="s">
        <v>106</v>
      </c>
      <c r="E10" s="12" t="s">
        <v>128</v>
      </c>
      <c r="F10" s="22" t="n">
        <v>1450</v>
      </c>
      <c r="G10" s="22" t="n">
        <v>650</v>
      </c>
      <c r="H10" s="15" t="str">
        <f aca="false">UPPER(TRIM(A10))</f>
        <v>PC-BAR-F38</v>
      </c>
      <c r="I10" s="15" t="str">
        <f aca="false">IF(OR(E10="",LEN(E10)&lt;&gt;7,MID(E10,5,1)&lt;&gt;"."),"HS code missing/format; ","")&amp;IF(COUNTIF($H$2:$H$500,H10)&gt;1,"Duplicate item; ","")</f>
        <v/>
      </c>
      <c r="J10" s="15" t="str">
        <f aca="false">IF(I10="","OK","CHECK")</f>
        <v>OK</v>
      </c>
    </row>
    <row r="11" customFormat="false" ht="15" hidden="false" customHeight="false" outlineLevel="0" collapsed="false">
      <c r="A11" s="12" t="s">
        <v>129</v>
      </c>
      <c r="B11" s="12" t="s">
        <v>130</v>
      </c>
      <c r="C11" s="12" t="s">
        <v>127</v>
      </c>
      <c r="D11" s="12" t="s">
        <v>106</v>
      </c>
      <c r="E11" s="12" t="s">
        <v>128</v>
      </c>
      <c r="F11" s="22" t="n">
        <v>2350</v>
      </c>
      <c r="G11" s="22" t="n">
        <v>980</v>
      </c>
      <c r="H11" s="15" t="str">
        <f aca="false">UPPER(TRIM(A11))</f>
        <v>PC-BAR-SS60</v>
      </c>
      <c r="I11" s="15" t="str">
        <f aca="false">IF(OR(E11="",LEN(E11)&lt;&gt;7,MID(E11,5,1)&lt;&gt;"."),"HS code missing/format; ","")&amp;IF(COUNTIF($H$2:$H$500,H11)&gt;1,"Duplicate item; ","")</f>
        <v/>
      </c>
      <c r="J11" s="15" t="str">
        <f aca="false">IF(I11="","OK","CHECK")</f>
        <v>OK</v>
      </c>
    </row>
    <row r="12" customFormat="false" ht="15" hidden="false" customHeight="false" outlineLevel="0" collapsed="false">
      <c r="A12" s="12" t="s">
        <v>131</v>
      </c>
      <c r="B12" s="12" t="s">
        <v>132</v>
      </c>
      <c r="C12" s="12" t="s">
        <v>133</v>
      </c>
      <c r="D12" s="12" t="s">
        <v>134</v>
      </c>
      <c r="E12" s="12" t="s">
        <v>107</v>
      </c>
      <c r="F12" s="22" t="n">
        <v>118</v>
      </c>
      <c r="G12" s="22" t="n">
        <v>52</v>
      </c>
      <c r="H12" s="15" t="str">
        <f aca="false">UPPER(TRIM(A12))</f>
        <v>PC-HC-200</v>
      </c>
      <c r="I12" s="15" t="str">
        <f aca="false">IF(OR(E12="",LEN(E12)&lt;&gt;7,MID(E12,5,1)&lt;&gt;"."),"HS code missing/format; ","")&amp;IF(COUNTIF($H$2:$H$500,H12)&gt;1,"Duplicate item; ","")</f>
        <v/>
      </c>
      <c r="J12" s="15" t="str">
        <f aca="false">IF(I12="","OK","CHECK")</f>
        <v>OK</v>
      </c>
    </row>
    <row r="13" customFormat="false" ht="15" hidden="false" customHeight="false" outlineLevel="0" collapsed="false">
      <c r="A13" s="12" t="s">
        <v>135</v>
      </c>
      <c r="B13" s="12" t="s">
        <v>136</v>
      </c>
      <c r="C13" s="12" t="s">
        <v>133</v>
      </c>
      <c r="D13" s="12" t="s">
        <v>134</v>
      </c>
      <c r="E13" s="12"/>
      <c r="F13" s="22" t="n">
        <v>136</v>
      </c>
      <c r="G13" s="22" t="n">
        <v>60</v>
      </c>
      <c r="H13" s="15" t="str">
        <f aca="false">UPPER(TRIM(A13))</f>
        <v>PC-HC-250</v>
      </c>
      <c r="I13" s="15" t="str">
        <f aca="false">IF(OR(E13="",LEN(E13)&lt;&gt;7,MID(E13,5,1)&lt;&gt;"."),"HS code missing/format; ","")&amp;IF(COUNTIF($H$2:$H$500,H13)&gt;1,"Duplicate item; ","")</f>
        <v>HS code missing/format; </v>
      </c>
      <c r="J13" s="15" t="str">
        <f aca="false">IF(I13="","OK","CHECK")</f>
        <v>CHECK</v>
      </c>
    </row>
  </sheetData>
  <autoFilter ref="A1:J13"/>
  <conditionalFormatting sqref="J2:J13">
    <cfRule type="cellIs" priority="2" operator="equal" aboveAverage="0" equalAverage="0" bottom="0" percent="0" rank="0" text="" dxfId="7">
      <formula>"CHECK"</formula>
    </cfRule>
    <cfRule type="cellIs" priority="3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30" hidden="false" customHeight="true" outlineLevel="0" collapsed="false">
      <c r="A1" s="20" t="s">
        <v>137</v>
      </c>
      <c r="B1" s="20" t="s">
        <v>138</v>
      </c>
      <c r="C1" s="20" t="s">
        <v>139</v>
      </c>
      <c r="D1" s="20" t="s">
        <v>140</v>
      </c>
      <c r="E1" s="20" t="s">
        <v>141</v>
      </c>
      <c r="F1" s="21" t="s">
        <v>142</v>
      </c>
    </row>
    <row r="2" customFormat="false" ht="15" hidden="false" customHeight="false" outlineLevel="0" collapsed="false">
      <c r="A2" s="12" t="s">
        <v>143</v>
      </c>
      <c r="B2" s="12" t="s">
        <v>144</v>
      </c>
      <c r="C2" s="12" t="s">
        <v>70</v>
      </c>
      <c r="D2" s="12" t="s">
        <v>51</v>
      </c>
      <c r="E2" s="23" t="n">
        <v>7</v>
      </c>
      <c r="F2" s="15" t="str">
        <f aca="false">IF(E2&gt;Lead_Time_Flag,"Long lead time","")</f>
        <v/>
      </c>
    </row>
    <row r="3" customFormat="false" ht="15" hidden="false" customHeight="false" outlineLevel="0" collapsed="false">
      <c r="A3" s="12" t="s">
        <v>145</v>
      </c>
      <c r="B3" s="12" t="s">
        <v>146</v>
      </c>
      <c r="C3" s="12" t="s">
        <v>147</v>
      </c>
      <c r="D3" s="12" t="s">
        <v>53</v>
      </c>
      <c r="E3" s="23" t="n">
        <v>14</v>
      </c>
      <c r="F3" s="15" t="str">
        <f aca="false">IF(E3&gt;Lead_Time_Flag,"Long lead time","")</f>
        <v/>
      </c>
    </row>
    <row r="4" customFormat="false" ht="15" hidden="false" customHeight="false" outlineLevel="0" collapsed="false">
      <c r="A4" s="12" t="s">
        <v>148</v>
      </c>
      <c r="B4" s="12" t="s">
        <v>149</v>
      </c>
      <c r="C4" s="12" t="s">
        <v>70</v>
      </c>
      <c r="D4" s="12" t="s">
        <v>51</v>
      </c>
      <c r="E4" s="23" t="n">
        <v>3</v>
      </c>
      <c r="F4" s="15" t="str">
        <f aca="false">IF(E4&gt;Lead_Time_Flag,"Long lead time","")</f>
        <v/>
      </c>
    </row>
    <row r="5" customFormat="false" ht="15" hidden="false" customHeight="false" outlineLevel="0" collapsed="false">
      <c r="A5" s="12" t="s">
        <v>150</v>
      </c>
      <c r="B5" s="12" t="s">
        <v>151</v>
      </c>
      <c r="C5" s="12" t="s">
        <v>147</v>
      </c>
      <c r="D5" s="12" t="s">
        <v>53</v>
      </c>
      <c r="E5" s="23" t="n">
        <v>10</v>
      </c>
      <c r="F5" s="15" t="str">
        <f aca="false">IF(E5&gt;Lead_Time_Flag,"Long lead time","")</f>
        <v/>
      </c>
    </row>
    <row r="6" customFormat="false" ht="15" hidden="false" customHeight="false" outlineLevel="0" collapsed="false">
      <c r="A6" s="12" t="s">
        <v>152</v>
      </c>
      <c r="B6" s="12" t="s">
        <v>153</v>
      </c>
      <c r="C6" s="12" t="s">
        <v>70</v>
      </c>
      <c r="D6" s="12" t="s">
        <v>51</v>
      </c>
      <c r="E6" s="23" t="n">
        <v>10</v>
      </c>
      <c r="F6" s="15" t="str">
        <f aca="false">IF(E6&gt;Lead_Time_Flag,"Long lead time","")</f>
        <v/>
      </c>
    </row>
    <row r="7" customFormat="false" ht="15" hidden="false" customHeight="false" outlineLevel="0" collapsed="false">
      <c r="A7" s="12" t="s">
        <v>154</v>
      </c>
      <c r="B7" s="12" t="s">
        <v>155</v>
      </c>
      <c r="C7" s="12" t="s">
        <v>156</v>
      </c>
      <c r="D7" s="12" t="s">
        <v>53</v>
      </c>
      <c r="E7" s="23" t="n">
        <v>60</v>
      </c>
      <c r="F7" s="15" t="str">
        <f aca="false">IF(E7&gt;Lead_Time_Flag,"Long lead time","")</f>
        <v>Long lead time</v>
      </c>
    </row>
    <row r="8" customFormat="false" ht="15" hidden="false" customHeight="false" outlineLevel="0" collapsed="false">
      <c r="A8" s="12" t="s">
        <v>157</v>
      </c>
      <c r="B8" s="12" t="s">
        <v>158</v>
      </c>
      <c r="C8" s="12" t="s">
        <v>147</v>
      </c>
      <c r="D8" s="12" t="s">
        <v>53</v>
      </c>
      <c r="E8" s="23" t="n">
        <v>14</v>
      </c>
      <c r="F8" s="15" t="str">
        <f aca="false">IF(E8&gt;Lead_Time_Flag,"Long lead time","")</f>
        <v/>
      </c>
    </row>
    <row r="9" customFormat="false" ht="15" hidden="false" customHeight="false" outlineLevel="0" collapsed="false">
      <c r="A9" s="12" t="s">
        <v>159</v>
      </c>
      <c r="B9" s="12" t="s">
        <v>160</v>
      </c>
      <c r="C9" s="12" t="s">
        <v>161</v>
      </c>
      <c r="D9" s="12" t="s">
        <v>53</v>
      </c>
      <c r="E9" s="23" t="n">
        <v>55</v>
      </c>
      <c r="F9" s="15" t="str">
        <f aca="false">IF(E9&gt;Lead_Time_Flag,"Long lead time","")</f>
        <v>Long lead time</v>
      </c>
    </row>
    <row r="10" customFormat="false" ht="15" hidden="false" customHeight="false" outlineLevel="0" collapsed="false">
      <c r="A10" s="12" t="s">
        <v>162</v>
      </c>
      <c r="B10" s="12" t="s">
        <v>163</v>
      </c>
      <c r="C10" s="12" t="s">
        <v>164</v>
      </c>
      <c r="D10" s="12" t="s">
        <v>53</v>
      </c>
      <c r="E10" s="23" t="n">
        <v>21</v>
      </c>
      <c r="F10" s="15" t="str">
        <f aca="false">IF(E10&gt;Lead_Time_Flag,"Long lead time","")</f>
        <v/>
      </c>
    </row>
    <row r="11" customFormat="false" ht="15" hidden="false" customHeight="false" outlineLevel="0" collapsed="false">
      <c r="A11" s="12" t="s">
        <v>165</v>
      </c>
      <c r="B11" s="12" t="s">
        <v>166</v>
      </c>
      <c r="C11" s="12" t="s">
        <v>167</v>
      </c>
      <c r="D11" s="12" t="s">
        <v>55</v>
      </c>
      <c r="E11" s="23" t="n">
        <v>45</v>
      </c>
      <c r="F11" s="15" t="str">
        <f aca="false">IF(E11&gt;Lead_Time_Flag,"Long lead time","")</f>
        <v>Long lead time</v>
      </c>
    </row>
    <row r="12" customFormat="false" ht="15" hidden="false" customHeight="false" outlineLevel="0" collapsed="false">
      <c r="A12" s="12" t="s">
        <v>168</v>
      </c>
      <c r="B12" s="12" t="s">
        <v>169</v>
      </c>
      <c r="C12" s="12" t="s">
        <v>70</v>
      </c>
      <c r="D12" s="12" t="s">
        <v>51</v>
      </c>
      <c r="E12" s="23" t="n">
        <v>5</v>
      </c>
      <c r="F12" s="15" t="str">
        <f aca="false">IF(E12&gt;Lead_Time_Flag,"Long lead time","")</f>
        <v/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3" min="13" style="0" width="40"/>
    <col collapsed="false" customWidth="true" hidden="false" outlineLevel="0" max="14" min="14" style="0" width="9"/>
  </cols>
  <sheetData>
    <row r="1" customFormat="false" ht="30" hidden="false" customHeight="true" outlineLevel="0" collapsed="false">
      <c r="A1" s="20" t="s">
        <v>170</v>
      </c>
      <c r="B1" s="20" t="s">
        <v>94</v>
      </c>
      <c r="C1" s="20" t="s">
        <v>96</v>
      </c>
      <c r="D1" s="20" t="s">
        <v>171</v>
      </c>
      <c r="E1" s="20" t="s">
        <v>140</v>
      </c>
      <c r="F1" s="20" t="s">
        <v>137</v>
      </c>
      <c r="G1" s="20" t="s">
        <v>172</v>
      </c>
      <c r="H1" s="20" t="s">
        <v>97</v>
      </c>
      <c r="I1" s="21" t="s">
        <v>173</v>
      </c>
      <c r="J1" s="21" t="s">
        <v>174</v>
      </c>
      <c r="K1" s="21" t="s">
        <v>138</v>
      </c>
      <c r="L1" s="21" t="s">
        <v>175</v>
      </c>
      <c r="M1" s="21" t="s">
        <v>101</v>
      </c>
      <c r="N1" s="21" t="s">
        <v>102</v>
      </c>
    </row>
    <row r="2" customFormat="false" ht="15" hidden="false" customHeight="false" outlineLevel="0" collapsed="false">
      <c r="A2" s="12" t="s">
        <v>176</v>
      </c>
      <c r="B2" s="12" t="s">
        <v>177</v>
      </c>
      <c r="C2" s="12" t="s">
        <v>66</v>
      </c>
      <c r="D2" s="22" t="n">
        <v>235</v>
      </c>
      <c r="E2" s="12" t="s">
        <v>51</v>
      </c>
      <c r="F2" s="12" t="s">
        <v>143</v>
      </c>
      <c r="G2" s="12" t="s">
        <v>70</v>
      </c>
      <c r="H2" s="12" t="s">
        <v>178</v>
      </c>
      <c r="I2" s="15" t="str">
        <f aca="false">UPPER(TRIM(A2))</f>
        <v>CMT-GU</v>
      </c>
      <c r="J2" s="24" t="n">
        <f aca="false">IF(D2="","",IFERROR(D2*INDEX(FX_Rate,MATCH(E2,FX_Currency,0)),"NO FX RATE"))</f>
        <v>235</v>
      </c>
      <c r="K2" s="15" t="str">
        <f aca="false">IFERROR(INDEX(Suppliers!$B$2:$B$500,MATCH(F2,Suppliers!$A$2:$A$500,0)),"NOT FOUND")</f>
        <v>Prairie Cement Co.</v>
      </c>
      <c r="L2" s="15" t="n">
        <f aca="false">COUNTIF($I$2:$I$500,I2)</f>
        <v>1</v>
      </c>
      <c r="M2" s="15" t="str">
        <f aca="false">IF(D2="","Missing cost; ","")&amp;IF(G2="","Missing origin; ","")&amp;IF(K2="NOT FOUND","Unknown supplier; ","")&amp;IF(L2&gt;1,"Duplicate code; ","")&amp;IF(OR(H2="",LEN(H2)&lt;&gt;7,MID(H2,5,1)&lt;&gt;"."),"HS code format; ","")&amp;IF(J2="NO FX RATE","No FX rate; ","")</f>
        <v/>
      </c>
      <c r="N2" s="15" t="str">
        <f aca="false">IF(M2="","OK","CHECK")</f>
        <v>OK</v>
      </c>
    </row>
    <row r="3" customFormat="false" ht="15" hidden="false" customHeight="false" outlineLevel="0" collapsed="false">
      <c r="A3" s="12" t="s">
        <v>179</v>
      </c>
      <c r="B3" s="12" t="s">
        <v>180</v>
      </c>
      <c r="C3" s="12" t="s">
        <v>66</v>
      </c>
      <c r="D3" s="22" t="n">
        <v>72</v>
      </c>
      <c r="E3" s="12" t="s">
        <v>53</v>
      </c>
      <c r="F3" s="12" t="s">
        <v>145</v>
      </c>
      <c r="G3" s="12" t="s">
        <v>147</v>
      </c>
      <c r="H3" s="12" t="s">
        <v>181</v>
      </c>
      <c r="I3" s="15" t="str">
        <f aca="false">UPPER(TRIM(A3))</f>
        <v>SCM-FA</v>
      </c>
      <c r="J3" s="24" t="n">
        <f aca="false">IF(D3="","",IFERROR(D3*INDEX(FX_Rate,MATCH(E3,FX_Currency,0)),"NO FX RATE"))</f>
        <v>98.64</v>
      </c>
      <c r="K3" s="15" t="str">
        <f aca="false">IFERROR(INDEX(Suppliers!$B$2:$B$500,MATCH(F3,Suppliers!$A$2:$A$500,0)),"NOT FOUND")</f>
        <v>Great Plains Ash Inc.</v>
      </c>
      <c r="L3" s="15" t="n">
        <f aca="false">COUNTIF($I$2:$I$500,I3)</f>
        <v>1</v>
      </c>
      <c r="M3" s="15" t="str">
        <f aca="false">IF(D3="","Missing cost; ","")&amp;IF(G3="","Missing origin; ","")&amp;IF(K3="NOT FOUND","Unknown supplier; ","")&amp;IF(L3&gt;1,"Duplicate code; ","")&amp;IF(OR(H3="",LEN(H3)&lt;&gt;7,MID(H3,5,1)&lt;&gt;"."),"HS code format; ","")&amp;IF(J3="NO FX RATE","No FX rate; ","")</f>
        <v/>
      </c>
      <c r="N3" s="15" t="str">
        <f aca="false">IF(M3="","OK","CHECK")</f>
        <v>OK</v>
      </c>
    </row>
    <row r="4" customFormat="false" ht="15" hidden="false" customHeight="false" outlineLevel="0" collapsed="false">
      <c r="A4" s="12" t="s">
        <v>182</v>
      </c>
      <c r="B4" s="12" t="s">
        <v>183</v>
      </c>
      <c r="C4" s="12" t="s">
        <v>66</v>
      </c>
      <c r="D4" s="22" t="n">
        <v>28</v>
      </c>
      <c r="E4" s="12" t="s">
        <v>51</v>
      </c>
      <c r="F4" s="12" t="s">
        <v>148</v>
      </c>
      <c r="G4" s="12" t="s">
        <v>70</v>
      </c>
      <c r="H4" s="12" t="s">
        <v>184</v>
      </c>
      <c r="I4" s="15" t="str">
        <f aca="false">UPPER(TRIM(A4))</f>
        <v>AGG-20</v>
      </c>
      <c r="J4" s="24" t="n">
        <f aca="false">IF(D4="","",IFERROR(D4*INDEX(FX_Rate,MATCH(E4,FX_Currency,0)),"NO FX RATE"))</f>
        <v>28</v>
      </c>
      <c r="K4" s="15" t="str">
        <f aca="false">IFERROR(INDEX(Suppliers!$B$2:$B$500,MATCH(F4,Suppliers!$A$2:$A$500,0)),"NOT FOUND")</f>
        <v>Red Valley Aggregates</v>
      </c>
      <c r="L4" s="15" t="n">
        <f aca="false">COUNTIF($I$2:$I$500,I4)</f>
        <v>1</v>
      </c>
      <c r="M4" s="15" t="str">
        <f aca="false">IF(D4="","Missing cost; ","")&amp;IF(G4="","Missing origin; ","")&amp;IF(K4="NOT FOUND","Unknown supplier; ","")&amp;IF(L4&gt;1,"Duplicate code; ","")&amp;IF(OR(H4="",LEN(H4)&lt;&gt;7,MID(H4,5,1)&lt;&gt;"."),"HS code format; ","")&amp;IF(J4="NO FX RATE","No FX rate; ","")</f>
        <v/>
      </c>
      <c r="N4" s="15" t="str">
        <f aca="false">IF(M4="","OK","CHECK")</f>
        <v>OK</v>
      </c>
    </row>
    <row r="5" customFormat="false" ht="15" hidden="false" customHeight="false" outlineLevel="0" collapsed="false">
      <c r="A5" s="12" t="s">
        <v>185</v>
      </c>
      <c r="B5" s="12" t="s">
        <v>186</v>
      </c>
      <c r="C5" s="12" t="s">
        <v>66</v>
      </c>
      <c r="D5" s="22" t="n">
        <v>24</v>
      </c>
      <c r="E5" s="12" t="s">
        <v>51</v>
      </c>
      <c r="F5" s="12" t="s">
        <v>148</v>
      </c>
      <c r="G5" s="12" t="s">
        <v>70</v>
      </c>
      <c r="H5" s="12" t="s">
        <v>187</v>
      </c>
      <c r="I5" s="15" t="str">
        <f aca="false">UPPER(TRIM(A5))</f>
        <v>AGG-SND</v>
      </c>
      <c r="J5" s="24" t="n">
        <f aca="false">IF(D5="","",IFERROR(D5*INDEX(FX_Rate,MATCH(E5,FX_Currency,0)),"NO FX RATE"))</f>
        <v>24</v>
      </c>
      <c r="K5" s="15" t="str">
        <f aca="false">IFERROR(INDEX(Suppliers!$B$2:$B$500,MATCH(F5,Suppliers!$A$2:$A$500,0)),"NOT FOUND")</f>
        <v>Red Valley Aggregates</v>
      </c>
      <c r="L5" s="15" t="n">
        <f aca="false">COUNTIF($I$2:$I$500,I5)</f>
        <v>1</v>
      </c>
      <c r="M5" s="15" t="str">
        <f aca="false">IF(D5="","Missing cost; ","")&amp;IF(G5="","Missing origin; ","")&amp;IF(K5="NOT FOUND","Unknown supplier; ","")&amp;IF(L5&gt;1,"Duplicate code; ","")&amp;IF(OR(H5="",LEN(H5)&lt;&gt;7,MID(H5,5,1)&lt;&gt;"."),"HS code format; ","")&amp;IF(J5="NO FX RATE","No FX rate; ","")</f>
        <v/>
      </c>
      <c r="N5" s="15" t="str">
        <f aca="false">IF(M5="","OK","CHECK")</f>
        <v>OK</v>
      </c>
    </row>
    <row r="6" customFormat="false" ht="15" hidden="false" customHeight="false" outlineLevel="0" collapsed="false">
      <c r="A6" s="12" t="s">
        <v>188</v>
      </c>
      <c r="B6" s="12" t="s">
        <v>189</v>
      </c>
      <c r="C6" s="12" t="s">
        <v>190</v>
      </c>
      <c r="D6" s="22" t="n">
        <v>3.1</v>
      </c>
      <c r="E6" s="12" t="s">
        <v>53</v>
      </c>
      <c r="F6" s="12" t="s">
        <v>150</v>
      </c>
      <c r="G6" s="12" t="s">
        <v>147</v>
      </c>
      <c r="H6" s="12" t="s">
        <v>191</v>
      </c>
      <c r="I6" s="15" t="str">
        <f aca="false">UPPER(TRIM(A6))</f>
        <v>ADM-SP</v>
      </c>
      <c r="J6" s="24" t="n">
        <f aca="false">IF(D6="","",IFERROR(D6*INDEX(FX_Rate,MATCH(E6,FX_Currency,0)),"NO FX RATE"))</f>
        <v>4.247</v>
      </c>
      <c r="K6" s="15" t="str">
        <f aca="false">IFERROR(INDEX(Suppliers!$B$2:$B$500,MATCH(F6,Suppliers!$A$2:$A$500,0)),"NOT FOUND")</f>
        <v>Midwest Admix Solutions</v>
      </c>
      <c r="L6" s="15" t="n">
        <f aca="false">COUNTIF($I$2:$I$500,I6)</f>
        <v>1</v>
      </c>
      <c r="M6" s="15" t="str">
        <f aca="false">IF(D6="","Missing cost; ","")&amp;IF(G6="","Missing origin; ","")&amp;IF(K6="NOT FOUND","Unknown supplier; ","")&amp;IF(L6&gt;1,"Duplicate code; ","")&amp;IF(OR(H6="",LEN(H6)&lt;&gt;7,MID(H6,5,1)&lt;&gt;"."),"HS code format; ","")&amp;IF(J6="NO FX RATE","No FX rate; ","")</f>
        <v/>
      </c>
      <c r="N6" s="15" t="str">
        <f aca="false">IF(M6="","OK","CHECK")</f>
        <v>OK</v>
      </c>
    </row>
    <row r="7" customFormat="false" ht="15" hidden="false" customHeight="false" outlineLevel="0" collapsed="false">
      <c r="A7" s="12" t="s">
        <v>192</v>
      </c>
      <c r="B7" s="12" t="s">
        <v>193</v>
      </c>
      <c r="C7" s="12" t="s">
        <v>190</v>
      </c>
      <c r="D7" s="22" t="n">
        <v>2.4</v>
      </c>
      <c r="E7" s="12" t="s">
        <v>53</v>
      </c>
      <c r="F7" s="12" t="s">
        <v>150</v>
      </c>
      <c r="G7" s="12" t="s">
        <v>147</v>
      </c>
      <c r="H7" s="12" t="s">
        <v>194</v>
      </c>
      <c r="I7" s="15" t="str">
        <f aca="false">UPPER(TRIM(A7))</f>
        <v>ADM-AE</v>
      </c>
      <c r="J7" s="24" t="n">
        <f aca="false">IF(D7="","",IFERROR(D7*INDEX(FX_Rate,MATCH(E7,FX_Currency,0)),"NO FX RATE"))</f>
        <v>3.288</v>
      </c>
      <c r="K7" s="15" t="str">
        <f aca="false">IFERROR(INDEX(Suppliers!$B$2:$B$500,MATCH(F7,Suppliers!$A$2:$A$500,0)),"NOT FOUND")</f>
        <v>Midwest Admix Solutions</v>
      </c>
      <c r="L7" s="15" t="n">
        <f aca="false">COUNTIF($I$2:$I$500,I7)</f>
        <v>1</v>
      </c>
      <c r="M7" s="15" t="str">
        <f aca="false">IF(D7="","Missing cost; ","")&amp;IF(G7="","Missing origin; ","")&amp;IF(K7="NOT FOUND","Unknown supplier; ","")&amp;IF(L7&gt;1,"Duplicate code; ","")&amp;IF(OR(H7="",LEN(H7)&lt;&gt;7,MID(H7,5,1)&lt;&gt;"."),"HS code format; ","")&amp;IF(J7="NO FX RATE","No FX rate; ","")</f>
        <v>HS code format; </v>
      </c>
      <c r="N7" s="15" t="str">
        <f aca="false">IF(M7="","OK","CHECK")</f>
        <v>CHECK</v>
      </c>
    </row>
    <row r="8" customFormat="false" ht="15" hidden="false" customHeight="false" outlineLevel="0" collapsed="false">
      <c r="A8" s="12" t="s">
        <v>195</v>
      </c>
      <c r="B8" s="12" t="s">
        <v>196</v>
      </c>
      <c r="C8" s="12" t="s">
        <v>62</v>
      </c>
      <c r="D8" s="22" t="n">
        <v>1.38</v>
      </c>
      <c r="E8" s="12" t="s">
        <v>51</v>
      </c>
      <c r="F8" s="12" t="s">
        <v>152</v>
      </c>
      <c r="G8" s="12" t="s">
        <v>70</v>
      </c>
      <c r="H8" s="12" t="s">
        <v>197</v>
      </c>
      <c r="I8" s="15" t="str">
        <f aca="false">UPPER(TRIM(A8))</f>
        <v>RB-10M</v>
      </c>
      <c r="J8" s="24" t="n">
        <f aca="false">IF(D8="","",IFERROR(D8*INDEX(FX_Rate,MATCH(E8,FX_Currency,0)),"NO FX RATE"))</f>
        <v>1.38</v>
      </c>
      <c r="K8" s="15" t="str">
        <f aca="false">IFERROR(INDEX(Suppliers!$B$2:$B$500,MATCH(F8,Suppliers!$A$2:$A$500,0)),"NOT FOUND")</f>
        <v>Northern Rebar Mills</v>
      </c>
      <c r="L8" s="15" t="n">
        <f aca="false">COUNTIF($I$2:$I$500,I8)</f>
        <v>1</v>
      </c>
      <c r="M8" s="15" t="str">
        <f aca="false">IF(D8="","Missing cost; ","")&amp;IF(G8="","Missing origin; ","")&amp;IF(K8="NOT FOUND","Unknown supplier; ","")&amp;IF(L8&gt;1,"Duplicate code; ","")&amp;IF(OR(H8="",LEN(H8)&lt;&gt;7,MID(H8,5,1)&lt;&gt;"."),"HS code format; ","")&amp;IF(J8="NO FX RATE","No FX rate; ","")</f>
        <v/>
      </c>
      <c r="N8" s="15" t="str">
        <f aca="false">IF(M8="","OK","CHECK")</f>
        <v>OK</v>
      </c>
    </row>
    <row r="9" customFormat="false" ht="15" hidden="false" customHeight="false" outlineLevel="0" collapsed="false">
      <c r="A9" s="12" t="s">
        <v>198</v>
      </c>
      <c r="B9" s="12" t="s">
        <v>199</v>
      </c>
      <c r="C9" s="12" t="s">
        <v>62</v>
      </c>
      <c r="D9" s="22" t="n">
        <v>1.31</v>
      </c>
      <c r="E9" s="12" t="s">
        <v>51</v>
      </c>
      <c r="F9" s="12" t="s">
        <v>152</v>
      </c>
      <c r="G9" s="12" t="s">
        <v>70</v>
      </c>
      <c r="H9" s="12" t="s">
        <v>197</v>
      </c>
      <c r="I9" s="15" t="str">
        <f aca="false">UPPER(TRIM(A9))</f>
        <v>RB-15M</v>
      </c>
      <c r="J9" s="24" t="n">
        <f aca="false">IF(D9="","",IFERROR(D9*INDEX(FX_Rate,MATCH(E9,FX_Currency,0)),"NO FX RATE"))</f>
        <v>1.31</v>
      </c>
      <c r="K9" s="15" t="str">
        <f aca="false">IFERROR(INDEX(Suppliers!$B$2:$B$500,MATCH(F9,Suppliers!$A$2:$A$500,0)),"NOT FOUND")</f>
        <v>Northern Rebar Mills</v>
      </c>
      <c r="L9" s="15" t="n">
        <f aca="false">COUNTIF($I$2:$I$500,I9)</f>
        <v>2</v>
      </c>
      <c r="M9" s="15" t="str">
        <f aca="false">IF(D9="","Missing cost; ","")&amp;IF(G9="","Missing origin; ","")&amp;IF(K9="NOT FOUND","Unknown supplier; ","")&amp;IF(L9&gt;1,"Duplicate code; ","")&amp;IF(OR(H9="",LEN(H9)&lt;&gt;7,MID(H9,5,1)&lt;&gt;"."),"HS code format; ","")&amp;IF(J9="NO FX RATE","No FX rate; ","")</f>
        <v>Duplicate code; </v>
      </c>
      <c r="N9" s="15" t="str">
        <f aca="false">IF(M9="","OK","CHECK")</f>
        <v>CHECK</v>
      </c>
    </row>
    <row r="10" customFormat="false" ht="15" hidden="false" customHeight="false" outlineLevel="0" collapsed="false">
      <c r="A10" s="12" t="s">
        <v>200</v>
      </c>
      <c r="B10" s="12" t="s">
        <v>201</v>
      </c>
      <c r="C10" s="12" t="s">
        <v>62</v>
      </c>
      <c r="D10" s="22" t="n">
        <v>0.93</v>
      </c>
      <c r="E10" s="12" t="s">
        <v>53</v>
      </c>
      <c r="F10" s="12" t="s">
        <v>154</v>
      </c>
      <c r="G10" s="12" t="s">
        <v>156</v>
      </c>
      <c r="H10" s="12" t="s">
        <v>197</v>
      </c>
      <c r="I10" s="15" t="str">
        <f aca="false">UPPER(TRIM(A10))</f>
        <v>RB-20M</v>
      </c>
      <c r="J10" s="24" t="n">
        <f aca="false">IF(D10="","",IFERROR(D10*INDEX(FX_Rate,MATCH(E10,FX_Currency,0)),"NO FX RATE"))</f>
        <v>1.2741</v>
      </c>
      <c r="K10" s="15" t="str">
        <f aca="false">IFERROR(INDEX(Suppliers!$B$2:$B$500,MATCH(F10,Suppliers!$A$2:$A$500,0)),"NOT FOUND")</f>
        <v>Anatolia Steel Trading</v>
      </c>
      <c r="L10" s="15" t="n">
        <f aca="false">COUNTIF($I$2:$I$500,I10)</f>
        <v>1</v>
      </c>
      <c r="M10" s="15" t="str">
        <f aca="false">IF(D10="","Missing cost; ","")&amp;IF(G10="","Missing origin; ","")&amp;IF(K10="NOT FOUND","Unknown supplier; ","")&amp;IF(L10&gt;1,"Duplicate code; ","")&amp;IF(OR(H10="",LEN(H10)&lt;&gt;7,MID(H10,5,1)&lt;&gt;"."),"HS code format; ","")&amp;IF(J10="NO FX RATE","No FX rate; ","")</f>
        <v/>
      </c>
      <c r="N10" s="15" t="str">
        <f aca="false">IF(M10="","OK","CHECK")</f>
        <v>OK</v>
      </c>
    </row>
    <row r="11" customFormat="false" ht="15" hidden="false" customHeight="false" outlineLevel="0" collapsed="false">
      <c r="A11" s="12" t="s">
        <v>202</v>
      </c>
      <c r="B11" s="12" t="s">
        <v>203</v>
      </c>
      <c r="C11" s="12" t="s">
        <v>134</v>
      </c>
      <c r="D11" s="22" t="n">
        <v>4.6</v>
      </c>
      <c r="E11" s="12" t="s">
        <v>53</v>
      </c>
      <c r="F11" s="12" t="s">
        <v>157</v>
      </c>
      <c r="G11" s="12" t="s">
        <v>147</v>
      </c>
      <c r="H11" s="12" t="s">
        <v>204</v>
      </c>
      <c r="I11" s="15" t="str">
        <f aca="false">UPPER(TRIM(A11))</f>
        <v>WWM-152</v>
      </c>
      <c r="J11" s="24" t="n">
        <f aca="false">IF(D11="","",IFERROR(D11*INDEX(FX_Rate,MATCH(E11,FX_Currency,0)),"NO FX RATE"))</f>
        <v>6.302</v>
      </c>
      <c r="K11" s="15" t="str">
        <f aca="false">IFERROR(INDEX(Suppliers!$B$2:$B$500,MATCH(F11,Suppliers!$A$2:$A$500,0)),"NOT FOUND")</f>
        <v>Lakeside Wire Products</v>
      </c>
      <c r="L11" s="15" t="n">
        <f aca="false">COUNTIF($I$2:$I$500,I11)</f>
        <v>1</v>
      </c>
      <c r="M11" s="15" t="str">
        <f aca="false">IF(D11="","Missing cost; ","")&amp;IF(G11="","Missing origin; ","")&amp;IF(K11="NOT FOUND","Unknown supplier; ","")&amp;IF(L11&gt;1,"Duplicate code; ","")&amp;IF(OR(H11="",LEN(H11)&lt;&gt;7,MID(H11,5,1)&lt;&gt;"."),"HS code format; ","")&amp;IF(J11="NO FX RATE","No FX rate; ","")</f>
        <v/>
      </c>
      <c r="N11" s="15" t="str">
        <f aca="false">IF(M11="","OK","CHECK")</f>
        <v>OK</v>
      </c>
    </row>
    <row r="12" customFormat="false" ht="15" hidden="false" customHeight="false" outlineLevel="0" collapsed="false">
      <c r="A12" s="12" t="s">
        <v>205</v>
      </c>
      <c r="B12" s="12" t="s">
        <v>206</v>
      </c>
      <c r="C12" s="12" t="s">
        <v>62</v>
      </c>
      <c r="D12" s="22" t="n">
        <v>1.5</v>
      </c>
      <c r="E12" s="12" t="s">
        <v>53</v>
      </c>
      <c r="F12" s="12" t="s">
        <v>159</v>
      </c>
      <c r="G12" s="12" t="s">
        <v>161</v>
      </c>
      <c r="H12" s="12" t="s">
        <v>207</v>
      </c>
      <c r="I12" s="15" t="str">
        <f aca="false">UPPER(TRIM(A12))</f>
        <v>STR-127</v>
      </c>
      <c r="J12" s="24" t="n">
        <f aca="false">IF(D12="","",IFERROR(D12*INDEX(FX_Rate,MATCH(E12,FX_Currency,0)),"NO FX RATE"))</f>
        <v>2.055</v>
      </c>
      <c r="K12" s="15" t="str">
        <f aca="false">IFERROR(INDEX(Suppliers!$B$2:$B$500,MATCH(F12,Suppliers!$A$2:$A$500,0)),"NOT FOUND")</f>
        <v>Hanbit Strand Co.</v>
      </c>
      <c r="L12" s="15" t="n">
        <f aca="false">COUNTIF($I$2:$I$500,I12)</f>
        <v>1</v>
      </c>
      <c r="M12" s="15" t="str">
        <f aca="false">IF(D12="","Missing cost; ","")&amp;IF(G12="","Missing origin; ","")&amp;IF(K12="NOT FOUND","Unknown supplier; ","")&amp;IF(L12&gt;1,"Duplicate code; ","")&amp;IF(OR(H12="",LEN(H12)&lt;&gt;7,MID(H12,5,1)&lt;&gt;"."),"HS code format; ","")&amp;IF(J12="NO FX RATE","No FX rate; ","")</f>
        <v/>
      </c>
      <c r="N12" s="15" t="str">
        <f aca="false">IF(M12="","OK","CHECK")</f>
        <v>OK</v>
      </c>
    </row>
    <row r="13" customFormat="false" ht="15" hidden="false" customHeight="false" outlineLevel="0" collapsed="false">
      <c r="A13" s="12" t="s">
        <v>208</v>
      </c>
      <c r="B13" s="12" t="s">
        <v>209</v>
      </c>
      <c r="C13" s="12" t="s">
        <v>106</v>
      </c>
      <c r="D13" s="22" t="n">
        <v>18.5</v>
      </c>
      <c r="E13" s="12" t="s">
        <v>53</v>
      </c>
      <c r="F13" s="12" t="s">
        <v>162</v>
      </c>
      <c r="G13" s="12" t="s">
        <v>164</v>
      </c>
      <c r="H13" s="12" t="s">
        <v>210</v>
      </c>
      <c r="I13" s="15" t="str">
        <f aca="false">UPPER(TRIM(A13))</f>
        <v>GSK-0600</v>
      </c>
      <c r="J13" s="24" t="n">
        <f aca="false">IF(D13="","",IFERROR(D13*INDEX(FX_Rate,MATCH(E13,FX_Currency,0)),"NO FX RATE"))</f>
        <v>25.345</v>
      </c>
      <c r="K13" s="15" t="str">
        <f aca="false">IFERROR(INDEX(Suppliers!$B$2:$B$500,MATCH(F13,Suppliers!$A$2:$A$500,0)),"NOT FOUND")</f>
        <v>Sierra Rubber Works</v>
      </c>
      <c r="L13" s="15" t="n">
        <f aca="false">COUNTIF($I$2:$I$500,I13)</f>
        <v>1</v>
      </c>
      <c r="M13" s="15" t="str">
        <f aca="false">IF(D13="","Missing cost; ","")&amp;IF(G13="","Missing origin; ","")&amp;IF(K13="NOT FOUND","Unknown supplier; ","")&amp;IF(L13&gt;1,"Duplicate code; ","")&amp;IF(OR(H13="",LEN(H13)&lt;&gt;7,MID(H13,5,1)&lt;&gt;"."),"HS code format; ","")&amp;IF(J13="NO FX RATE","No FX rate; ","")</f>
        <v/>
      </c>
      <c r="N13" s="15" t="str">
        <f aca="false">IF(M13="","OK","CHECK")</f>
        <v>OK</v>
      </c>
    </row>
    <row r="14" customFormat="false" ht="15" hidden="false" customHeight="false" outlineLevel="0" collapsed="false">
      <c r="A14" s="12" t="s">
        <v>211</v>
      </c>
      <c r="B14" s="12" t="s">
        <v>212</v>
      </c>
      <c r="C14" s="12" t="s">
        <v>106</v>
      </c>
      <c r="D14" s="22" t="n">
        <v>26</v>
      </c>
      <c r="E14" s="12" t="s">
        <v>53</v>
      </c>
      <c r="F14" s="12" t="s">
        <v>162</v>
      </c>
      <c r="G14" s="12" t="s">
        <v>164</v>
      </c>
      <c r="H14" s="12" t="s">
        <v>210</v>
      </c>
      <c r="I14" s="15" t="str">
        <f aca="false">UPPER(TRIM(A14))</f>
        <v>GSK-0900</v>
      </c>
      <c r="J14" s="24" t="n">
        <f aca="false">IF(D14="","",IFERROR(D14*INDEX(FX_Rate,MATCH(E14,FX_Currency,0)),"NO FX RATE"))</f>
        <v>35.62</v>
      </c>
      <c r="K14" s="15" t="str">
        <f aca="false">IFERROR(INDEX(Suppliers!$B$2:$B$500,MATCH(F14,Suppliers!$A$2:$A$500,0)),"NOT FOUND")</f>
        <v>Sierra Rubber Works</v>
      </c>
      <c r="L14" s="15" t="n">
        <f aca="false">COUNTIF($I$2:$I$500,I14)</f>
        <v>1</v>
      </c>
      <c r="M14" s="15" t="str">
        <f aca="false">IF(D14="","Missing cost; ","")&amp;IF(G14="","Missing origin; ","")&amp;IF(K14="NOT FOUND","Unknown supplier; ","")&amp;IF(L14&gt;1,"Duplicate code; ","")&amp;IF(OR(H14="",LEN(H14)&lt;&gt;7,MID(H14,5,1)&lt;&gt;"."),"HS code format; ","")&amp;IF(J14="NO FX RATE","No FX rate; ","")</f>
        <v/>
      </c>
      <c r="N14" s="15" t="str">
        <f aca="false">IF(M14="","OK","CHECK")</f>
        <v>OK</v>
      </c>
    </row>
    <row r="15" customFormat="false" ht="15" hidden="false" customHeight="false" outlineLevel="0" collapsed="false">
      <c r="A15" s="12" t="s">
        <v>213</v>
      </c>
      <c r="B15" s="12" t="s">
        <v>214</v>
      </c>
      <c r="C15" s="12" t="s">
        <v>106</v>
      </c>
      <c r="D15" s="22" t="n">
        <v>34</v>
      </c>
      <c r="E15" s="12" t="s">
        <v>53</v>
      </c>
      <c r="F15" s="12" t="s">
        <v>162</v>
      </c>
      <c r="G15" s="12"/>
      <c r="H15" s="12" t="s">
        <v>210</v>
      </c>
      <c r="I15" s="15" t="str">
        <f aca="false">UPPER(TRIM(A15))</f>
        <v>GSK-1200</v>
      </c>
      <c r="J15" s="24" t="n">
        <f aca="false">IF(D15="","",IFERROR(D15*INDEX(FX_Rate,MATCH(E15,FX_Currency,0)),"NO FX RATE"))</f>
        <v>46.58</v>
      </c>
      <c r="K15" s="15" t="str">
        <f aca="false">IFERROR(INDEX(Suppliers!$B$2:$B$500,MATCH(F15,Suppliers!$A$2:$A$500,0)),"NOT FOUND")</f>
        <v>Sierra Rubber Works</v>
      </c>
      <c r="L15" s="15" t="n">
        <f aca="false">COUNTIF($I$2:$I$500,I15)</f>
        <v>1</v>
      </c>
      <c r="M15" s="15" t="str">
        <f aca="false">IF(D15="","Missing cost; ","")&amp;IF(G15="","Missing origin; ","")&amp;IF(K15="NOT FOUND","Unknown supplier; ","")&amp;IF(L15&gt;1,"Duplicate code; ","")&amp;IF(OR(H15="",LEN(H15)&lt;&gt;7,MID(H15,5,1)&lt;&gt;"."),"HS code format; ","")&amp;IF(J15="NO FX RATE","No FX rate; ","")</f>
        <v>Missing origin; </v>
      </c>
      <c r="N15" s="15" t="str">
        <f aca="false">IF(M15="","OK","CHECK")</f>
        <v>CHECK</v>
      </c>
    </row>
    <row r="16" customFormat="false" ht="15" hidden="false" customHeight="false" outlineLevel="0" collapsed="false">
      <c r="A16" s="12" t="s">
        <v>215</v>
      </c>
      <c r="B16" s="12" t="s">
        <v>216</v>
      </c>
      <c r="C16" s="12" t="s">
        <v>106</v>
      </c>
      <c r="D16" s="22" t="n">
        <v>4.6</v>
      </c>
      <c r="E16" s="12" t="s">
        <v>55</v>
      </c>
      <c r="F16" s="12" t="s">
        <v>165</v>
      </c>
      <c r="G16" s="12" t="s">
        <v>167</v>
      </c>
      <c r="H16" s="12" t="s">
        <v>217</v>
      </c>
      <c r="I16" s="15" t="str">
        <f aca="false">UPPER(TRIM(A16))</f>
        <v>LFT-ANC</v>
      </c>
      <c r="J16" s="24" t="n">
        <f aca="false">IF(D16="","",IFERROR(D16*INDEX(FX_Rate,MATCH(E16,FX_Currency,0)),"NO FX RATE"))</f>
        <v>6.9</v>
      </c>
      <c r="K16" s="15" t="str">
        <f aca="false">IFERROR(INDEX(Suppliers!$B$2:$B$500,MATCH(F16,Suppliers!$A$2:$A$500,0)),"NOT FOUND")</f>
        <v>Rhein Lifting Systems</v>
      </c>
      <c r="L16" s="15" t="n">
        <f aca="false">COUNTIF($I$2:$I$500,I16)</f>
        <v>1</v>
      </c>
      <c r="M16" s="15" t="str">
        <f aca="false">IF(D16="","Missing cost; ","")&amp;IF(G16="","Missing origin; ","")&amp;IF(K16="NOT FOUND","Unknown supplier; ","")&amp;IF(L16&gt;1,"Duplicate code; ","")&amp;IF(OR(H16="",LEN(H16)&lt;&gt;7,MID(H16,5,1)&lt;&gt;"."),"HS code format; ","")&amp;IF(J16="NO FX RATE","No FX rate; ","")</f>
        <v/>
      </c>
      <c r="N16" s="15" t="str">
        <f aca="false">IF(M16="","OK","CHECK")</f>
        <v>OK</v>
      </c>
    </row>
    <row r="17" customFormat="false" ht="15" hidden="false" customHeight="false" outlineLevel="0" collapsed="false">
      <c r="A17" s="12" t="s">
        <v>218</v>
      </c>
      <c r="B17" s="12" t="s">
        <v>219</v>
      </c>
      <c r="C17" s="12" t="s">
        <v>106</v>
      </c>
      <c r="D17" s="22" t="n">
        <v>210</v>
      </c>
      <c r="E17" s="12" t="s">
        <v>51</v>
      </c>
      <c r="F17" s="12" t="s">
        <v>220</v>
      </c>
      <c r="G17" s="12" t="s">
        <v>221</v>
      </c>
      <c r="H17" s="12" t="s">
        <v>222</v>
      </c>
      <c r="I17" s="15" t="str">
        <f aca="false">UPPER(TRIM(A17))</f>
        <v>CST-FRM</v>
      </c>
      <c r="J17" s="24" t="n">
        <f aca="false">IF(D17="","",IFERROR(D17*INDEX(FX_Rate,MATCH(E17,FX_Currency,0)),"NO FX RATE"))</f>
        <v>210</v>
      </c>
      <c r="K17" s="15" t="str">
        <f aca="false">IFERROR(INDEX(Suppliers!$B$2:$B$500,MATCH(F17,Suppliers!$A$2:$A$500,0)),"NOT FOUND")</f>
        <v>NOT FOUND</v>
      </c>
      <c r="L17" s="15" t="n">
        <f aca="false">COUNTIF($I$2:$I$500,I17)</f>
        <v>1</v>
      </c>
      <c r="M17" s="15" t="str">
        <f aca="false">IF(D17="","Missing cost; ","")&amp;IF(G17="","Missing origin; ","")&amp;IF(K17="NOT FOUND","Unknown supplier; ","")&amp;IF(L17&gt;1,"Duplicate code; ","")&amp;IF(OR(H17="",LEN(H17)&lt;&gt;7,MID(H17,5,1)&lt;&gt;"."),"HS code format; ","")&amp;IF(J17="NO FX RATE","No FX rate; ","")</f>
        <v>Unknown supplier; </v>
      </c>
      <c r="N17" s="15" t="str">
        <f aca="false">IF(M17="","OK","CHECK")</f>
        <v>CHECK</v>
      </c>
    </row>
    <row r="18" customFormat="false" ht="15" hidden="false" customHeight="false" outlineLevel="0" collapsed="false">
      <c r="A18" s="12" t="s">
        <v>223</v>
      </c>
      <c r="B18" s="12" t="s">
        <v>224</v>
      </c>
      <c r="C18" s="12" t="s">
        <v>225</v>
      </c>
      <c r="D18" s="22"/>
      <c r="E18" s="12" t="s">
        <v>51</v>
      </c>
      <c r="F18" s="12" t="s">
        <v>168</v>
      </c>
      <c r="G18" s="12" t="s">
        <v>70</v>
      </c>
      <c r="H18" s="12" t="s">
        <v>226</v>
      </c>
      <c r="I18" s="15" t="str">
        <f aca="false">UPPER(TRIM(A18))</f>
        <v>SEAL-BUT</v>
      </c>
      <c r="J18" s="24" t="str">
        <f aca="false">IF(D18="","",IFERROR(D18*INDEX(FX_Rate,MATCH(E18,FX_Currency,0)),"NO FX RATE"))</f>
        <v/>
      </c>
      <c r="K18" s="15" t="str">
        <f aca="false">IFERROR(INDEX(Suppliers!$B$2:$B$500,MATCH(F18,Suppliers!$A$2:$A$500,0)),"NOT FOUND")</f>
        <v>Westway Site Supply</v>
      </c>
      <c r="L18" s="15" t="n">
        <f aca="false">COUNTIF($I$2:$I$500,I18)</f>
        <v>1</v>
      </c>
      <c r="M18" s="15" t="str">
        <f aca="false">IF(D18="","Missing cost; ","")&amp;IF(G18="","Missing origin; ","")&amp;IF(K18="NOT FOUND","Unknown supplier; ","")&amp;IF(L18&gt;1,"Duplicate code; ","")&amp;IF(OR(H18="",LEN(H18)&lt;&gt;7,MID(H18,5,1)&lt;&gt;"."),"HS code format; ","")&amp;IF(J18="NO FX RATE","No FX rate; ","")</f>
        <v>Missing cost; </v>
      </c>
      <c r="N18" s="15" t="str">
        <f aca="false">IF(M18="","OK","CHECK")</f>
        <v>CHECK</v>
      </c>
    </row>
    <row r="19" customFormat="false" ht="15" hidden="false" customHeight="false" outlineLevel="0" collapsed="false">
      <c r="A19" s="12" t="s">
        <v>227</v>
      </c>
      <c r="B19" s="12" t="s">
        <v>228</v>
      </c>
      <c r="C19" s="12" t="s">
        <v>190</v>
      </c>
      <c r="D19" s="22" t="n">
        <v>1.15</v>
      </c>
      <c r="E19" s="12" t="s">
        <v>51</v>
      </c>
      <c r="F19" s="12" t="s">
        <v>168</v>
      </c>
      <c r="G19" s="12" t="s">
        <v>70</v>
      </c>
      <c r="H19" s="12" t="s">
        <v>229</v>
      </c>
      <c r="I19" s="15" t="str">
        <f aca="false">UPPER(TRIM(A19))</f>
        <v>FRM-OIL</v>
      </c>
      <c r="J19" s="24" t="n">
        <f aca="false">IF(D19="","",IFERROR(D19*INDEX(FX_Rate,MATCH(E19,FX_Currency,0)),"NO FX RATE"))</f>
        <v>1.15</v>
      </c>
      <c r="K19" s="15" t="str">
        <f aca="false">IFERROR(INDEX(Suppliers!$B$2:$B$500,MATCH(F19,Suppliers!$A$2:$A$500,0)),"NOT FOUND")</f>
        <v>Westway Site Supply</v>
      </c>
      <c r="L19" s="15" t="n">
        <f aca="false">COUNTIF($I$2:$I$500,I19)</f>
        <v>1</v>
      </c>
      <c r="M19" s="15" t="str">
        <f aca="false">IF(D19="","Missing cost; ","")&amp;IF(G19="","Missing origin; ","")&amp;IF(K19="NOT FOUND","Unknown supplier; ","")&amp;IF(L19&gt;1,"Duplicate code; ","")&amp;IF(OR(H19="",LEN(H19)&lt;&gt;7,MID(H19,5,1)&lt;&gt;"."),"HS code format; ","")&amp;IF(J19="NO FX RATE","No FX rate; ","")</f>
        <v/>
      </c>
      <c r="N19" s="15" t="str">
        <f aca="false">IF(M19="","OK","CHECK")</f>
        <v>OK</v>
      </c>
    </row>
    <row r="20" customFormat="false" ht="15" hidden="false" customHeight="false" outlineLevel="0" collapsed="false">
      <c r="A20" s="12" t="s">
        <v>230</v>
      </c>
      <c r="B20" s="12" t="s">
        <v>231</v>
      </c>
      <c r="C20" s="12" t="s">
        <v>62</v>
      </c>
      <c r="D20" s="22" t="n">
        <v>1.29</v>
      </c>
      <c r="E20" s="12" t="s">
        <v>51</v>
      </c>
      <c r="F20" s="12" t="s">
        <v>152</v>
      </c>
      <c r="G20" s="12" t="s">
        <v>70</v>
      </c>
      <c r="H20" s="12" t="s">
        <v>197</v>
      </c>
      <c r="I20" s="15" t="str">
        <f aca="false">UPPER(TRIM(A20))</f>
        <v>RB-15M</v>
      </c>
      <c r="J20" s="24" t="n">
        <f aca="false">IF(D20="","",IFERROR(D20*INDEX(FX_Rate,MATCH(E20,FX_Currency,0)),"NO FX RATE"))</f>
        <v>1.29</v>
      </c>
      <c r="K20" s="15" t="str">
        <f aca="false">IFERROR(INDEX(Suppliers!$B$2:$B$500,MATCH(F20,Suppliers!$A$2:$A$500,0)),"NOT FOUND")</f>
        <v>Northern Rebar Mills</v>
      </c>
      <c r="L20" s="15" t="n">
        <f aca="false">COUNTIF($I$2:$I$500,I20)</f>
        <v>2</v>
      </c>
      <c r="M20" s="15" t="str">
        <f aca="false">IF(D20="","Missing cost; ","")&amp;IF(G20="","Missing origin; ","")&amp;IF(K20="NOT FOUND","Unknown supplier; ","")&amp;IF(L20&gt;1,"Duplicate code; ","")&amp;IF(OR(H20="",LEN(H20)&lt;&gt;7,MID(H20,5,1)&lt;&gt;"."),"HS code format; ","")&amp;IF(J20="NO FX RATE","No FX rate; ","")</f>
        <v>Duplicate code; </v>
      </c>
      <c r="N20" s="15" t="str">
        <f aca="false">IF(M20="","OK","CHECK")</f>
        <v>CHECK</v>
      </c>
    </row>
  </sheetData>
  <autoFilter ref="A1:N20"/>
  <conditionalFormatting sqref="N2:N20">
    <cfRule type="cellIs" priority="2" operator="equal" aboveAverage="0" equalAverage="0" bottom="0" percent="0" rank="0" text="" dxfId="7">
      <formula>"CHECK"</formula>
    </cfRule>
    <cfRule type="cellIs" priority="3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S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34"/>
    <col collapsed="false" customWidth="true" hidden="false" outlineLevel="0" max="19" min="19" style="0" width="9"/>
  </cols>
  <sheetData>
    <row r="1" customFormat="false" ht="30" hidden="false" customHeight="true" outlineLevel="0" collapsed="false">
      <c r="A1" s="20" t="s">
        <v>232</v>
      </c>
      <c r="B1" s="20" t="s">
        <v>233</v>
      </c>
      <c r="C1" s="20" t="s">
        <v>170</v>
      </c>
      <c r="D1" s="20" t="s">
        <v>234</v>
      </c>
      <c r="E1" s="20" t="s">
        <v>96</v>
      </c>
      <c r="F1" s="21" t="s">
        <v>173</v>
      </c>
      <c r="G1" s="21" t="s">
        <v>235</v>
      </c>
      <c r="H1" s="21" t="s">
        <v>236</v>
      </c>
      <c r="I1" s="21" t="s">
        <v>237</v>
      </c>
      <c r="J1" s="21" t="s">
        <v>238</v>
      </c>
      <c r="K1" s="21" t="s">
        <v>174</v>
      </c>
      <c r="L1" s="21" t="s">
        <v>239</v>
      </c>
      <c r="M1" s="21" t="s">
        <v>172</v>
      </c>
      <c r="N1" s="21" t="s">
        <v>240</v>
      </c>
      <c r="O1" s="21" t="s">
        <v>137</v>
      </c>
      <c r="P1" s="21" t="s">
        <v>241</v>
      </c>
      <c r="Q1" s="21" t="s">
        <v>242</v>
      </c>
      <c r="R1" s="21" t="s">
        <v>101</v>
      </c>
      <c r="S1" s="21" t="s">
        <v>102</v>
      </c>
    </row>
    <row r="2" customFormat="false" ht="15" hidden="false" customHeight="false" outlineLevel="0" collapsed="false">
      <c r="A2" s="12" t="s">
        <v>103</v>
      </c>
      <c r="B2" s="12" t="n">
        <v>10</v>
      </c>
      <c r="C2" s="12" t="s">
        <v>176</v>
      </c>
      <c r="D2" s="25" t="n">
        <v>0.133</v>
      </c>
      <c r="E2" s="12" t="s">
        <v>66</v>
      </c>
      <c r="F2" s="15" t="str">
        <f aca="false">UPPER(TRIM(C2))</f>
        <v>CMT-GU</v>
      </c>
      <c r="G2" s="15" t="str">
        <f aca="false">IFERROR(INDEX(Components!$B$2:$B$500,MATCH(F2,Components!$I$2:$I$500,0)),"NOT FOUND")</f>
        <v>Portland cement Type GU</v>
      </c>
      <c r="H2" s="15" t="str">
        <f aca="false">IF(G2="NOT FOUND","",INDEX(Components!$C$2:$C$500,MATCH(F2,Components!$I$2:$I$500,0)))</f>
        <v>T</v>
      </c>
      <c r="I2" s="26" t="n">
        <f aca="false">IF(G2="NOT FOUND","",IF(E2=H2,1,IFERROR(INDEX(Unit_Factor,MATCH(E2&amp;"&gt;"&amp;H2,Unit_Key,0)),"NO FACTOR")))</f>
        <v>1</v>
      </c>
      <c r="J2" s="27" t="n">
        <f aca="false">IF(ISNUMBER(I2),D2*I2,"")</f>
        <v>0.133</v>
      </c>
      <c r="K2" s="24" t="n">
        <f aca="false">IF(G2="NOT FOUND","",INDEX(Components!$J$2:$J$500,MATCH(F2,Components!$I$2:$I$500,0)))</f>
        <v>235</v>
      </c>
      <c r="L2" s="24" t="n">
        <f aca="false">IF(AND(ISNUMBER(J2),ISNUMBER(K2)),J2*K2,"")</f>
        <v>31.255</v>
      </c>
      <c r="M2" s="15" t="str">
        <f aca="false">IF(G2="NOT FOUND","",IF(INDEX(Components!$G$2:$G$500,MATCH(F2,Components!$I$2:$I$500,0))="","UNKNOWN",INDEX(Components!$G$2:$G$500,MATCH(F2,Components!$I$2:$I$500,0))))</f>
        <v>CA</v>
      </c>
      <c r="N2" s="15" t="str">
        <f aca="false">IF(M2="","",IF(M2="UNKNOWN","Unknown",IF(M2=Home_Country,"Domestic","Imported")))</f>
        <v>Domestic</v>
      </c>
      <c r="O2" s="15" t="str">
        <f aca="false">IF(G2="NOT FOUND","",INDEX(Components!$F$2:$F$500,MATCH(F2,Components!$I$2:$I$500,0)))</f>
        <v>SUP-01</v>
      </c>
      <c r="P2" s="28" t="n">
        <f aca="false">SUMIFS(Sales!$G$2:$G$500,Sales!$I$2:$I$500,A2)</f>
        <v>326</v>
      </c>
      <c r="Q2" s="29" t="n">
        <f aca="false">IF(ISNUMBER(L2),L2*P2,"")</f>
        <v>10189.13</v>
      </c>
      <c r="R2" s="15" t="str">
        <f aca="false">IF(G2="NOT FOUND","Unknown component; ","")&amp;IF(I2="NO FACTOR","No unit conversion; ","")&amp;IF(AND(G2&lt;&gt;"NOT FOUND",K2=""),"Missing cost; ","")&amp;IF(M2="UNKNOWN","Missing origin; ","")</f>
        <v/>
      </c>
      <c r="S2" s="15" t="str">
        <f aca="false">IF(R2="","OK","CHECK")</f>
        <v>OK</v>
      </c>
    </row>
    <row r="3" customFormat="false" ht="15" hidden="false" customHeight="false" outlineLevel="0" collapsed="false">
      <c r="A3" s="12" t="s">
        <v>103</v>
      </c>
      <c r="B3" s="12" t="n">
        <v>20</v>
      </c>
      <c r="C3" s="12" t="s">
        <v>179</v>
      </c>
      <c r="D3" s="25" t="n">
        <v>0.0266</v>
      </c>
      <c r="E3" s="12" t="s">
        <v>66</v>
      </c>
      <c r="F3" s="15" t="str">
        <f aca="false">UPPER(TRIM(C3))</f>
        <v>SCM-FA</v>
      </c>
      <c r="G3" s="15" t="str">
        <f aca="false">IFERROR(INDEX(Components!$B$2:$B$500,MATCH(F3,Components!$I$2:$I$500,0)),"NOT FOUND")</f>
        <v>Fly ash Class F</v>
      </c>
      <c r="H3" s="15" t="str">
        <f aca="false">IF(G3="NOT FOUND","",INDEX(Components!$C$2:$C$500,MATCH(F3,Components!$I$2:$I$500,0)))</f>
        <v>T</v>
      </c>
      <c r="I3" s="26" t="n">
        <f aca="false">IF(G3="NOT FOUND","",IF(E3=H3,1,IFERROR(INDEX(Unit_Factor,MATCH(E3&amp;"&gt;"&amp;H3,Unit_Key,0)),"NO FACTOR")))</f>
        <v>1</v>
      </c>
      <c r="J3" s="27" t="n">
        <f aca="false">IF(ISNUMBER(I3),D3*I3,"")</f>
        <v>0.0266</v>
      </c>
      <c r="K3" s="24" t="n">
        <f aca="false">IF(G3="NOT FOUND","",INDEX(Components!$J$2:$J$500,MATCH(F3,Components!$I$2:$I$500,0)))</f>
        <v>98.64</v>
      </c>
      <c r="L3" s="24" t="n">
        <f aca="false">IF(AND(ISNUMBER(J3),ISNUMBER(K3)),J3*K3,"")</f>
        <v>2.623824</v>
      </c>
      <c r="M3" s="15" t="str">
        <f aca="false">IF(G3="NOT FOUND","",IF(INDEX(Components!$G$2:$G$500,MATCH(F3,Components!$I$2:$I$500,0))="","UNKNOWN",INDEX(Components!$G$2:$G$500,MATCH(F3,Components!$I$2:$I$500,0))))</f>
        <v>US</v>
      </c>
      <c r="N3" s="15" t="str">
        <f aca="false">IF(M3="","",IF(M3="UNKNOWN","Unknown",IF(M3=Home_Country,"Domestic","Imported")))</f>
        <v>Imported</v>
      </c>
      <c r="O3" s="15" t="str">
        <f aca="false">IF(G3="NOT FOUND","",INDEX(Components!$F$2:$F$500,MATCH(F3,Components!$I$2:$I$500,0)))</f>
        <v>SUP-02</v>
      </c>
      <c r="P3" s="28" t="n">
        <f aca="false">SUMIFS(Sales!$G$2:$G$500,Sales!$I$2:$I$500,A3)</f>
        <v>326</v>
      </c>
      <c r="Q3" s="29" t="n">
        <f aca="false">IF(ISNUMBER(L3),L3*P3,"")</f>
        <v>855.366624</v>
      </c>
      <c r="R3" s="15" t="str">
        <f aca="false">IF(G3="NOT FOUND","Unknown component; ","")&amp;IF(I3="NO FACTOR","No unit conversion; ","")&amp;IF(AND(G3&lt;&gt;"NOT FOUND",K3=""),"Missing cost; ","")&amp;IF(M3="UNKNOWN","Missing origin; ","")</f>
        <v/>
      </c>
      <c r="S3" s="15" t="str">
        <f aca="false">IF(R3="","OK","CHECK")</f>
        <v>OK</v>
      </c>
    </row>
    <row r="4" customFormat="false" ht="15" hidden="false" customHeight="false" outlineLevel="0" collapsed="false">
      <c r="A4" s="12" t="s">
        <v>103</v>
      </c>
      <c r="B4" s="12" t="n">
        <v>30</v>
      </c>
      <c r="C4" s="12" t="s">
        <v>182</v>
      </c>
      <c r="D4" s="25" t="n">
        <v>0.399</v>
      </c>
      <c r="E4" s="12" t="s">
        <v>66</v>
      </c>
      <c r="F4" s="15" t="str">
        <f aca="false">UPPER(TRIM(C4))</f>
        <v>AGG-20</v>
      </c>
      <c r="G4" s="15" t="str">
        <f aca="false">IFERROR(INDEX(Components!$B$2:$B$500,MATCH(F4,Components!$I$2:$I$500,0)),"NOT FOUND")</f>
        <v>Coarse aggregate 20 mm</v>
      </c>
      <c r="H4" s="15" t="str">
        <f aca="false">IF(G4="NOT FOUND","",INDEX(Components!$C$2:$C$500,MATCH(F4,Components!$I$2:$I$500,0)))</f>
        <v>T</v>
      </c>
      <c r="I4" s="26" t="n">
        <f aca="false">IF(G4="NOT FOUND","",IF(E4=H4,1,IFERROR(INDEX(Unit_Factor,MATCH(E4&amp;"&gt;"&amp;H4,Unit_Key,0)),"NO FACTOR")))</f>
        <v>1</v>
      </c>
      <c r="J4" s="27" t="n">
        <f aca="false">IF(ISNUMBER(I4),D4*I4,"")</f>
        <v>0.399</v>
      </c>
      <c r="K4" s="24" t="n">
        <f aca="false">IF(G4="NOT FOUND","",INDEX(Components!$J$2:$J$500,MATCH(F4,Components!$I$2:$I$500,0)))</f>
        <v>28</v>
      </c>
      <c r="L4" s="24" t="n">
        <f aca="false">IF(AND(ISNUMBER(J4),ISNUMBER(K4)),J4*K4,"")</f>
        <v>11.172</v>
      </c>
      <c r="M4" s="15" t="str">
        <f aca="false">IF(G4="NOT FOUND","",IF(INDEX(Components!$G$2:$G$500,MATCH(F4,Components!$I$2:$I$500,0))="","UNKNOWN",INDEX(Components!$G$2:$G$500,MATCH(F4,Components!$I$2:$I$500,0))))</f>
        <v>CA</v>
      </c>
      <c r="N4" s="15" t="str">
        <f aca="false">IF(M4="","",IF(M4="UNKNOWN","Unknown",IF(M4=Home_Country,"Domestic","Imported")))</f>
        <v>Domestic</v>
      </c>
      <c r="O4" s="15" t="str">
        <f aca="false">IF(G4="NOT FOUND","",INDEX(Components!$F$2:$F$500,MATCH(F4,Components!$I$2:$I$500,0)))</f>
        <v>SUP-03</v>
      </c>
      <c r="P4" s="28" t="n">
        <f aca="false">SUMIFS(Sales!$G$2:$G$500,Sales!$I$2:$I$500,A4)</f>
        <v>326</v>
      </c>
      <c r="Q4" s="29" t="n">
        <f aca="false">IF(ISNUMBER(L4),L4*P4,"")</f>
        <v>3642.072</v>
      </c>
      <c r="R4" s="15" t="str">
        <f aca="false">IF(G4="NOT FOUND","Unknown component; ","")&amp;IF(I4="NO FACTOR","No unit conversion; ","")&amp;IF(AND(G4&lt;&gt;"NOT FOUND",K4=""),"Missing cost; ","")&amp;IF(M4="UNKNOWN","Missing origin; ","")</f>
        <v/>
      </c>
      <c r="S4" s="15" t="str">
        <f aca="false">IF(R4="","OK","CHECK")</f>
        <v>OK</v>
      </c>
    </row>
    <row r="5" customFormat="false" ht="15" hidden="false" customHeight="false" outlineLevel="0" collapsed="false">
      <c r="A5" s="12" t="s">
        <v>103</v>
      </c>
      <c r="B5" s="12" t="n">
        <v>40</v>
      </c>
      <c r="C5" s="12" t="s">
        <v>185</v>
      </c>
      <c r="D5" s="25" t="n">
        <v>0.285</v>
      </c>
      <c r="E5" s="12" t="s">
        <v>66</v>
      </c>
      <c r="F5" s="15" t="str">
        <f aca="false">UPPER(TRIM(C5))</f>
        <v>AGG-SND</v>
      </c>
      <c r="G5" s="15" t="str">
        <f aca="false">IFERROR(INDEX(Components!$B$2:$B$500,MATCH(F5,Components!$I$2:$I$500,0)),"NOT FOUND")</f>
        <v>Concrete sand</v>
      </c>
      <c r="H5" s="15" t="str">
        <f aca="false">IF(G5="NOT FOUND","",INDEX(Components!$C$2:$C$500,MATCH(F5,Components!$I$2:$I$500,0)))</f>
        <v>T</v>
      </c>
      <c r="I5" s="26" t="n">
        <f aca="false">IF(G5="NOT FOUND","",IF(E5=H5,1,IFERROR(INDEX(Unit_Factor,MATCH(E5&amp;"&gt;"&amp;H5,Unit_Key,0)),"NO FACTOR")))</f>
        <v>1</v>
      </c>
      <c r="J5" s="27" t="n">
        <f aca="false">IF(ISNUMBER(I5),D5*I5,"")</f>
        <v>0.285</v>
      </c>
      <c r="K5" s="24" t="n">
        <f aca="false">IF(G5="NOT FOUND","",INDEX(Components!$J$2:$J$500,MATCH(F5,Components!$I$2:$I$500,0)))</f>
        <v>24</v>
      </c>
      <c r="L5" s="24" t="n">
        <f aca="false">IF(AND(ISNUMBER(J5),ISNUMBER(K5)),J5*K5,"")</f>
        <v>6.84</v>
      </c>
      <c r="M5" s="15" t="str">
        <f aca="false">IF(G5="NOT FOUND","",IF(INDEX(Components!$G$2:$G$500,MATCH(F5,Components!$I$2:$I$500,0))="","UNKNOWN",INDEX(Components!$G$2:$G$500,MATCH(F5,Components!$I$2:$I$500,0))))</f>
        <v>CA</v>
      </c>
      <c r="N5" s="15" t="str">
        <f aca="false">IF(M5="","",IF(M5="UNKNOWN","Unknown",IF(M5=Home_Country,"Domestic","Imported")))</f>
        <v>Domestic</v>
      </c>
      <c r="O5" s="15" t="str">
        <f aca="false">IF(G5="NOT FOUND","",INDEX(Components!$F$2:$F$500,MATCH(F5,Components!$I$2:$I$500,0)))</f>
        <v>SUP-03</v>
      </c>
      <c r="P5" s="28" t="n">
        <f aca="false">SUMIFS(Sales!$G$2:$G$500,Sales!$I$2:$I$500,A5)</f>
        <v>326</v>
      </c>
      <c r="Q5" s="29" t="n">
        <f aca="false">IF(ISNUMBER(L5),L5*P5,"")</f>
        <v>2229.84</v>
      </c>
      <c r="R5" s="15" t="str">
        <f aca="false">IF(G5="NOT FOUND","Unknown component; ","")&amp;IF(I5="NO FACTOR","No unit conversion; ","")&amp;IF(AND(G5&lt;&gt;"NOT FOUND",K5=""),"Missing cost; ","")&amp;IF(M5="UNKNOWN","Missing origin; ","")</f>
        <v/>
      </c>
      <c r="S5" s="15" t="str">
        <f aca="false">IF(R5="","OK","CHECK")</f>
        <v>OK</v>
      </c>
    </row>
    <row r="6" customFormat="false" ht="15" hidden="false" customHeight="false" outlineLevel="0" collapsed="false">
      <c r="A6" s="12" t="s">
        <v>103</v>
      </c>
      <c r="B6" s="12" t="n">
        <v>50</v>
      </c>
      <c r="C6" s="12" t="s">
        <v>188</v>
      </c>
      <c r="D6" s="25" t="n">
        <v>0.76</v>
      </c>
      <c r="E6" s="12" t="s">
        <v>190</v>
      </c>
      <c r="F6" s="15" t="str">
        <f aca="false">UPPER(TRIM(C6))</f>
        <v>ADM-SP</v>
      </c>
      <c r="G6" s="15" t="str">
        <f aca="false">IFERROR(INDEX(Components!$B$2:$B$500,MATCH(F6,Components!$I$2:$I$500,0)),"NOT FOUND")</f>
        <v>Superplasticizer admixture</v>
      </c>
      <c r="H6" s="15" t="str">
        <f aca="false">IF(G6="NOT FOUND","",INDEX(Components!$C$2:$C$500,MATCH(F6,Components!$I$2:$I$500,0)))</f>
        <v>L</v>
      </c>
      <c r="I6" s="26" t="n">
        <f aca="false">IF(G6="NOT FOUND","",IF(E6=H6,1,IFERROR(INDEX(Unit_Factor,MATCH(E6&amp;"&gt;"&amp;H6,Unit_Key,0)),"NO FACTOR")))</f>
        <v>1</v>
      </c>
      <c r="J6" s="27" t="n">
        <f aca="false">IF(ISNUMBER(I6),D6*I6,"")</f>
        <v>0.76</v>
      </c>
      <c r="K6" s="24" t="n">
        <f aca="false">IF(G6="NOT FOUND","",INDEX(Components!$J$2:$J$500,MATCH(F6,Components!$I$2:$I$500,0)))</f>
        <v>4.247</v>
      </c>
      <c r="L6" s="24" t="n">
        <f aca="false">IF(AND(ISNUMBER(J6),ISNUMBER(K6)),J6*K6,"")</f>
        <v>3.22772</v>
      </c>
      <c r="M6" s="15" t="str">
        <f aca="false">IF(G6="NOT FOUND","",IF(INDEX(Components!$G$2:$G$500,MATCH(F6,Components!$I$2:$I$500,0))="","UNKNOWN",INDEX(Components!$G$2:$G$500,MATCH(F6,Components!$I$2:$I$500,0))))</f>
        <v>US</v>
      </c>
      <c r="N6" s="15" t="str">
        <f aca="false">IF(M6="","",IF(M6="UNKNOWN","Unknown",IF(M6=Home_Country,"Domestic","Imported")))</f>
        <v>Imported</v>
      </c>
      <c r="O6" s="15" t="str">
        <f aca="false">IF(G6="NOT FOUND","",INDEX(Components!$F$2:$F$500,MATCH(F6,Components!$I$2:$I$500,0)))</f>
        <v>SUP-04</v>
      </c>
      <c r="P6" s="28" t="n">
        <f aca="false">SUMIFS(Sales!$G$2:$G$500,Sales!$I$2:$I$500,A6)</f>
        <v>326</v>
      </c>
      <c r="Q6" s="29" t="n">
        <f aca="false">IF(ISNUMBER(L6),L6*P6,"")</f>
        <v>1052.23672</v>
      </c>
      <c r="R6" s="15" t="str">
        <f aca="false">IF(G6="NOT FOUND","Unknown component; ","")&amp;IF(I6="NO FACTOR","No unit conversion; ","")&amp;IF(AND(G6&lt;&gt;"NOT FOUND",K6=""),"Missing cost; ","")&amp;IF(M6="UNKNOWN","Missing origin; ","")</f>
        <v/>
      </c>
      <c r="S6" s="15" t="str">
        <f aca="false">IF(R6="","OK","CHECK")</f>
        <v>OK</v>
      </c>
    </row>
    <row r="7" customFormat="false" ht="15" hidden="false" customHeight="false" outlineLevel="0" collapsed="false">
      <c r="A7" s="12" t="s">
        <v>103</v>
      </c>
      <c r="B7" s="12" t="n">
        <v>60</v>
      </c>
      <c r="C7" s="12" t="s">
        <v>192</v>
      </c>
      <c r="D7" s="25" t="n">
        <v>0.152</v>
      </c>
      <c r="E7" s="12" t="s">
        <v>190</v>
      </c>
      <c r="F7" s="15" t="str">
        <f aca="false">UPPER(TRIM(C7))</f>
        <v>ADM-AE</v>
      </c>
      <c r="G7" s="15" t="str">
        <f aca="false">IFERROR(INDEX(Components!$B$2:$B$500,MATCH(F7,Components!$I$2:$I$500,0)),"NOT FOUND")</f>
        <v>Air-entraining admixture</v>
      </c>
      <c r="H7" s="15" t="str">
        <f aca="false">IF(G7="NOT FOUND","",INDEX(Components!$C$2:$C$500,MATCH(F7,Components!$I$2:$I$500,0)))</f>
        <v>L</v>
      </c>
      <c r="I7" s="26" t="n">
        <f aca="false">IF(G7="NOT FOUND","",IF(E7=H7,1,IFERROR(INDEX(Unit_Factor,MATCH(E7&amp;"&gt;"&amp;H7,Unit_Key,0)),"NO FACTOR")))</f>
        <v>1</v>
      </c>
      <c r="J7" s="27" t="n">
        <f aca="false">IF(ISNUMBER(I7),D7*I7,"")</f>
        <v>0.152</v>
      </c>
      <c r="K7" s="24" t="n">
        <f aca="false">IF(G7="NOT FOUND","",INDEX(Components!$J$2:$J$500,MATCH(F7,Components!$I$2:$I$500,0)))</f>
        <v>3.288</v>
      </c>
      <c r="L7" s="24" t="n">
        <f aca="false">IF(AND(ISNUMBER(J7),ISNUMBER(K7)),J7*K7,"")</f>
        <v>0.499776</v>
      </c>
      <c r="M7" s="15" t="str">
        <f aca="false">IF(G7="NOT FOUND","",IF(INDEX(Components!$G$2:$G$500,MATCH(F7,Components!$I$2:$I$500,0))="","UNKNOWN",INDEX(Components!$G$2:$G$500,MATCH(F7,Components!$I$2:$I$500,0))))</f>
        <v>US</v>
      </c>
      <c r="N7" s="15" t="str">
        <f aca="false">IF(M7="","",IF(M7="UNKNOWN","Unknown",IF(M7=Home_Country,"Domestic","Imported")))</f>
        <v>Imported</v>
      </c>
      <c r="O7" s="15" t="str">
        <f aca="false">IF(G7="NOT FOUND","",INDEX(Components!$F$2:$F$500,MATCH(F7,Components!$I$2:$I$500,0)))</f>
        <v>SUP-04</v>
      </c>
      <c r="P7" s="28" t="n">
        <f aca="false">SUMIFS(Sales!$G$2:$G$500,Sales!$I$2:$I$500,A7)</f>
        <v>326</v>
      </c>
      <c r="Q7" s="29" t="n">
        <f aca="false">IF(ISNUMBER(L7),L7*P7,"")</f>
        <v>162.926976</v>
      </c>
      <c r="R7" s="15" t="str">
        <f aca="false">IF(G7="NOT FOUND","Unknown component; ","")&amp;IF(I7="NO FACTOR","No unit conversion; ","")&amp;IF(AND(G7&lt;&gt;"NOT FOUND",K7=""),"Missing cost; ","")&amp;IF(M7="UNKNOWN","Missing origin; ","")</f>
        <v/>
      </c>
      <c r="S7" s="15" t="str">
        <f aca="false">IF(R7="","OK","CHECK")</f>
        <v>OK</v>
      </c>
    </row>
    <row r="8" customFormat="false" ht="15" hidden="false" customHeight="false" outlineLevel="0" collapsed="false">
      <c r="A8" s="12" t="s">
        <v>103</v>
      </c>
      <c r="B8" s="12" t="n">
        <v>70</v>
      </c>
      <c r="C8" s="12" t="s">
        <v>195</v>
      </c>
      <c r="D8" s="25" t="n">
        <v>28</v>
      </c>
      <c r="E8" s="12" t="s">
        <v>62</v>
      </c>
      <c r="F8" s="15" t="str">
        <f aca="false">UPPER(TRIM(C8))</f>
        <v>RB-10M</v>
      </c>
      <c r="G8" s="15" t="str">
        <f aca="false">IFERROR(INDEX(Components!$B$2:$B$500,MATCH(F8,Components!$I$2:$I$500,0)),"NOT FOUND")</f>
        <v>Rebar 10M</v>
      </c>
      <c r="H8" s="15" t="str">
        <f aca="false">IF(G8="NOT FOUND","",INDEX(Components!$C$2:$C$500,MATCH(F8,Components!$I$2:$I$500,0)))</f>
        <v>KG</v>
      </c>
      <c r="I8" s="26" t="n">
        <f aca="false">IF(G8="NOT FOUND","",IF(E8=H8,1,IFERROR(INDEX(Unit_Factor,MATCH(E8&amp;"&gt;"&amp;H8,Unit_Key,0)),"NO FACTOR")))</f>
        <v>1</v>
      </c>
      <c r="J8" s="27" t="n">
        <f aca="false">IF(ISNUMBER(I8),D8*I8,"")</f>
        <v>28</v>
      </c>
      <c r="K8" s="24" t="n">
        <f aca="false">IF(G8="NOT FOUND","",INDEX(Components!$J$2:$J$500,MATCH(F8,Components!$I$2:$I$500,0)))</f>
        <v>1.38</v>
      </c>
      <c r="L8" s="24" t="n">
        <f aca="false">IF(AND(ISNUMBER(J8),ISNUMBER(K8)),J8*K8,"")</f>
        <v>38.64</v>
      </c>
      <c r="M8" s="15" t="str">
        <f aca="false">IF(G8="NOT FOUND","",IF(INDEX(Components!$G$2:$G$500,MATCH(F8,Components!$I$2:$I$500,0))="","UNKNOWN",INDEX(Components!$G$2:$G$500,MATCH(F8,Components!$I$2:$I$500,0))))</f>
        <v>CA</v>
      </c>
      <c r="N8" s="15" t="str">
        <f aca="false">IF(M8="","",IF(M8="UNKNOWN","Unknown",IF(M8=Home_Country,"Domestic","Imported")))</f>
        <v>Domestic</v>
      </c>
      <c r="O8" s="15" t="str">
        <f aca="false">IF(G8="NOT FOUND","",INDEX(Components!$F$2:$F$500,MATCH(F8,Components!$I$2:$I$500,0)))</f>
        <v>SUP-05</v>
      </c>
      <c r="P8" s="28" t="n">
        <f aca="false">SUMIFS(Sales!$G$2:$G$500,Sales!$I$2:$I$500,A8)</f>
        <v>326</v>
      </c>
      <c r="Q8" s="29" t="n">
        <f aca="false">IF(ISNUMBER(L8),L8*P8,"")</f>
        <v>12596.64</v>
      </c>
      <c r="R8" s="15" t="str">
        <f aca="false">IF(G8="NOT FOUND","Unknown component; ","")&amp;IF(I8="NO FACTOR","No unit conversion; ","")&amp;IF(AND(G8&lt;&gt;"NOT FOUND",K8=""),"Missing cost; ","")&amp;IF(M8="UNKNOWN","Missing origin; ","")</f>
        <v/>
      </c>
      <c r="S8" s="15" t="str">
        <f aca="false">IF(R8="","OK","CHECK")</f>
        <v>OK</v>
      </c>
    </row>
    <row r="9" customFormat="false" ht="15" hidden="false" customHeight="false" outlineLevel="0" collapsed="false">
      <c r="A9" s="12" t="s">
        <v>103</v>
      </c>
      <c r="B9" s="12" t="n">
        <v>80</v>
      </c>
      <c r="C9" s="12" t="s">
        <v>208</v>
      </c>
      <c r="D9" s="25" t="n">
        <v>1</v>
      </c>
      <c r="E9" s="12" t="s">
        <v>106</v>
      </c>
      <c r="F9" s="15" t="str">
        <f aca="false">UPPER(TRIM(C9))</f>
        <v>GSK-0600</v>
      </c>
      <c r="G9" s="15" t="str">
        <f aca="false">IFERROR(INDEX(Components!$B$2:$B$500,MATCH(F9,Components!$I$2:$I$500,0)),"NOT FOUND")</f>
        <v>Rubber pipe gasket 600 mm</v>
      </c>
      <c r="H9" s="15" t="str">
        <f aca="false">IF(G9="NOT FOUND","",INDEX(Components!$C$2:$C$500,MATCH(F9,Components!$I$2:$I$500,0)))</f>
        <v>EA</v>
      </c>
      <c r="I9" s="26" t="n">
        <f aca="false">IF(G9="NOT FOUND","",IF(E9=H9,1,IFERROR(INDEX(Unit_Factor,MATCH(E9&amp;"&gt;"&amp;H9,Unit_Key,0)),"NO FACTOR")))</f>
        <v>1</v>
      </c>
      <c r="J9" s="27" t="n">
        <f aca="false">IF(ISNUMBER(I9),D9*I9,"")</f>
        <v>1</v>
      </c>
      <c r="K9" s="24" t="n">
        <f aca="false">IF(G9="NOT FOUND","",INDEX(Components!$J$2:$J$500,MATCH(F9,Components!$I$2:$I$500,0)))</f>
        <v>25.345</v>
      </c>
      <c r="L9" s="24" t="n">
        <f aca="false">IF(AND(ISNUMBER(J9),ISNUMBER(K9)),J9*K9,"")</f>
        <v>25.345</v>
      </c>
      <c r="M9" s="15" t="str">
        <f aca="false">IF(G9="NOT FOUND","",IF(INDEX(Components!$G$2:$G$500,MATCH(F9,Components!$I$2:$I$500,0))="","UNKNOWN",INDEX(Components!$G$2:$G$500,MATCH(F9,Components!$I$2:$I$500,0))))</f>
        <v>MX</v>
      </c>
      <c r="N9" s="15" t="str">
        <f aca="false">IF(M9="","",IF(M9="UNKNOWN","Unknown",IF(M9=Home_Country,"Domestic","Imported")))</f>
        <v>Imported</v>
      </c>
      <c r="O9" s="15" t="str">
        <f aca="false">IF(G9="NOT FOUND","",INDEX(Components!$F$2:$F$500,MATCH(F9,Components!$I$2:$I$500,0)))</f>
        <v>SUP-09</v>
      </c>
      <c r="P9" s="28" t="n">
        <f aca="false">SUMIFS(Sales!$G$2:$G$500,Sales!$I$2:$I$500,A9)</f>
        <v>326</v>
      </c>
      <c r="Q9" s="29" t="n">
        <f aca="false">IF(ISNUMBER(L9),L9*P9,"")</f>
        <v>8262.47</v>
      </c>
      <c r="R9" s="15" t="str">
        <f aca="false">IF(G9="NOT FOUND","Unknown component; ","")&amp;IF(I9="NO FACTOR","No unit conversion; ","")&amp;IF(AND(G9&lt;&gt;"NOT FOUND",K9=""),"Missing cost; ","")&amp;IF(M9="UNKNOWN","Missing origin; ","")</f>
        <v/>
      </c>
      <c r="S9" s="15" t="str">
        <f aca="false">IF(R9="","OK","CHECK")</f>
        <v>OK</v>
      </c>
    </row>
    <row r="10" customFormat="false" ht="15" hidden="false" customHeight="false" outlineLevel="0" collapsed="false">
      <c r="A10" s="12" t="s">
        <v>103</v>
      </c>
      <c r="B10" s="12" t="n">
        <v>90</v>
      </c>
      <c r="C10" s="12" t="s">
        <v>227</v>
      </c>
      <c r="D10" s="25" t="n">
        <v>0.3</v>
      </c>
      <c r="E10" s="12" t="s">
        <v>190</v>
      </c>
      <c r="F10" s="15" t="str">
        <f aca="false">UPPER(TRIM(C10))</f>
        <v>FRM-OIL</v>
      </c>
      <c r="G10" s="15" t="str">
        <f aca="false">IFERROR(INDEX(Components!$B$2:$B$500,MATCH(F10,Components!$I$2:$I$500,0)),"NOT FOUND")</f>
        <v>Form release agent</v>
      </c>
      <c r="H10" s="15" t="str">
        <f aca="false">IF(G10="NOT FOUND","",INDEX(Components!$C$2:$C$500,MATCH(F10,Components!$I$2:$I$500,0)))</f>
        <v>L</v>
      </c>
      <c r="I10" s="26" t="n">
        <f aca="false">IF(G10="NOT FOUND","",IF(E10=H10,1,IFERROR(INDEX(Unit_Factor,MATCH(E10&amp;"&gt;"&amp;H10,Unit_Key,0)),"NO FACTOR")))</f>
        <v>1</v>
      </c>
      <c r="J10" s="27" t="n">
        <f aca="false">IF(ISNUMBER(I10),D10*I10,"")</f>
        <v>0.3</v>
      </c>
      <c r="K10" s="24" t="n">
        <f aca="false">IF(G10="NOT FOUND","",INDEX(Components!$J$2:$J$500,MATCH(F10,Components!$I$2:$I$500,0)))</f>
        <v>1.15</v>
      </c>
      <c r="L10" s="24" t="n">
        <f aca="false">IF(AND(ISNUMBER(J10),ISNUMBER(K10)),J10*K10,"")</f>
        <v>0.345</v>
      </c>
      <c r="M10" s="15" t="str">
        <f aca="false">IF(G10="NOT FOUND","",IF(INDEX(Components!$G$2:$G$500,MATCH(F10,Components!$I$2:$I$500,0))="","UNKNOWN",INDEX(Components!$G$2:$G$500,MATCH(F10,Components!$I$2:$I$500,0))))</f>
        <v>CA</v>
      </c>
      <c r="N10" s="15" t="str">
        <f aca="false">IF(M10="","",IF(M10="UNKNOWN","Unknown",IF(M10=Home_Country,"Domestic","Imported")))</f>
        <v>Domestic</v>
      </c>
      <c r="O10" s="15" t="str">
        <f aca="false">IF(G10="NOT FOUND","",INDEX(Components!$F$2:$F$500,MATCH(F10,Components!$I$2:$I$500,0)))</f>
        <v>SUP-12</v>
      </c>
      <c r="P10" s="28" t="n">
        <f aca="false">SUMIFS(Sales!$G$2:$G$500,Sales!$I$2:$I$500,A10)</f>
        <v>326</v>
      </c>
      <c r="Q10" s="29" t="n">
        <f aca="false">IF(ISNUMBER(L10),L10*P10,"")</f>
        <v>112.47</v>
      </c>
      <c r="R10" s="15" t="str">
        <f aca="false">IF(G10="NOT FOUND","Unknown component; ","")&amp;IF(I10="NO FACTOR","No unit conversion; ","")&amp;IF(AND(G10&lt;&gt;"NOT FOUND",K10=""),"Missing cost; ","")&amp;IF(M10="UNKNOWN","Missing origin; ","")</f>
        <v/>
      </c>
      <c r="S10" s="15" t="str">
        <f aca="false">IF(R10="","OK","CHECK")</f>
        <v>OK</v>
      </c>
    </row>
    <row r="11" customFormat="false" ht="15" hidden="false" customHeight="false" outlineLevel="0" collapsed="false">
      <c r="A11" s="12" t="s">
        <v>108</v>
      </c>
      <c r="B11" s="12" t="n">
        <v>10</v>
      </c>
      <c r="C11" s="12" t="s">
        <v>176</v>
      </c>
      <c r="D11" s="25" t="n">
        <v>0.245</v>
      </c>
      <c r="E11" s="12" t="s">
        <v>66</v>
      </c>
      <c r="F11" s="15" t="str">
        <f aca="false">UPPER(TRIM(C11))</f>
        <v>CMT-GU</v>
      </c>
      <c r="G11" s="15" t="str">
        <f aca="false">IFERROR(INDEX(Components!$B$2:$B$500,MATCH(F11,Components!$I$2:$I$500,0)),"NOT FOUND")</f>
        <v>Portland cement Type GU</v>
      </c>
      <c r="H11" s="15" t="str">
        <f aca="false">IF(G11="NOT FOUND","",INDEX(Components!$C$2:$C$500,MATCH(F11,Components!$I$2:$I$500,0)))</f>
        <v>T</v>
      </c>
      <c r="I11" s="26" t="n">
        <f aca="false">IF(G11="NOT FOUND","",IF(E11=H11,1,IFERROR(INDEX(Unit_Factor,MATCH(E11&amp;"&gt;"&amp;H11,Unit_Key,0)),"NO FACTOR")))</f>
        <v>1</v>
      </c>
      <c r="J11" s="27" t="n">
        <f aca="false">IF(ISNUMBER(I11),D11*I11,"")</f>
        <v>0.245</v>
      </c>
      <c r="K11" s="24" t="n">
        <f aca="false">IF(G11="NOT FOUND","",INDEX(Components!$J$2:$J$500,MATCH(F11,Components!$I$2:$I$500,0)))</f>
        <v>235</v>
      </c>
      <c r="L11" s="24" t="n">
        <f aca="false">IF(AND(ISNUMBER(J11),ISNUMBER(K11)),J11*K11,"")</f>
        <v>57.575</v>
      </c>
      <c r="M11" s="15" t="str">
        <f aca="false">IF(G11="NOT FOUND","",IF(INDEX(Components!$G$2:$G$500,MATCH(F11,Components!$I$2:$I$500,0))="","UNKNOWN",INDEX(Components!$G$2:$G$500,MATCH(F11,Components!$I$2:$I$500,0))))</f>
        <v>CA</v>
      </c>
      <c r="N11" s="15" t="str">
        <f aca="false">IF(M11="","",IF(M11="UNKNOWN","Unknown",IF(M11=Home_Country,"Domestic","Imported")))</f>
        <v>Domestic</v>
      </c>
      <c r="O11" s="15" t="str">
        <f aca="false">IF(G11="NOT FOUND","",INDEX(Components!$F$2:$F$500,MATCH(F11,Components!$I$2:$I$500,0)))</f>
        <v>SUP-01</v>
      </c>
      <c r="P11" s="28" t="n">
        <f aca="false">SUMIFS(Sales!$G$2:$G$500,Sales!$I$2:$I$500,A11)</f>
        <v>366</v>
      </c>
      <c r="Q11" s="29" t="n">
        <f aca="false">IF(ISNUMBER(L11),L11*P11,"")</f>
        <v>21072.45</v>
      </c>
      <c r="R11" s="15" t="str">
        <f aca="false">IF(G11="NOT FOUND","Unknown component; ","")&amp;IF(I11="NO FACTOR","No unit conversion; ","")&amp;IF(AND(G11&lt;&gt;"NOT FOUND",K11=""),"Missing cost; ","")&amp;IF(M11="UNKNOWN","Missing origin; ","")</f>
        <v/>
      </c>
      <c r="S11" s="15" t="str">
        <f aca="false">IF(R11="","OK","CHECK")</f>
        <v>OK</v>
      </c>
    </row>
    <row r="12" customFormat="false" ht="15" hidden="false" customHeight="false" outlineLevel="0" collapsed="false">
      <c r="A12" s="12" t="s">
        <v>108</v>
      </c>
      <c r="B12" s="12" t="n">
        <v>20</v>
      </c>
      <c r="C12" s="12" t="s">
        <v>179</v>
      </c>
      <c r="D12" s="25" t="n">
        <v>0.049</v>
      </c>
      <c r="E12" s="12" t="s">
        <v>66</v>
      </c>
      <c r="F12" s="15" t="str">
        <f aca="false">UPPER(TRIM(C12))</f>
        <v>SCM-FA</v>
      </c>
      <c r="G12" s="15" t="str">
        <f aca="false">IFERROR(INDEX(Components!$B$2:$B$500,MATCH(F12,Components!$I$2:$I$500,0)),"NOT FOUND")</f>
        <v>Fly ash Class F</v>
      </c>
      <c r="H12" s="15" t="str">
        <f aca="false">IF(G12="NOT FOUND","",INDEX(Components!$C$2:$C$500,MATCH(F12,Components!$I$2:$I$500,0)))</f>
        <v>T</v>
      </c>
      <c r="I12" s="26" t="n">
        <f aca="false">IF(G12="NOT FOUND","",IF(E12=H12,1,IFERROR(INDEX(Unit_Factor,MATCH(E12&amp;"&gt;"&amp;H12,Unit_Key,0)),"NO FACTOR")))</f>
        <v>1</v>
      </c>
      <c r="J12" s="27" t="n">
        <f aca="false">IF(ISNUMBER(I12),D12*I12,"")</f>
        <v>0.049</v>
      </c>
      <c r="K12" s="24" t="n">
        <f aca="false">IF(G12="NOT FOUND","",INDEX(Components!$J$2:$J$500,MATCH(F12,Components!$I$2:$I$500,0)))</f>
        <v>98.64</v>
      </c>
      <c r="L12" s="24" t="n">
        <f aca="false">IF(AND(ISNUMBER(J12),ISNUMBER(K12)),J12*K12,"")</f>
        <v>4.83336</v>
      </c>
      <c r="M12" s="15" t="str">
        <f aca="false">IF(G12="NOT FOUND","",IF(INDEX(Components!$G$2:$G$500,MATCH(F12,Components!$I$2:$I$500,0))="","UNKNOWN",INDEX(Components!$G$2:$G$500,MATCH(F12,Components!$I$2:$I$500,0))))</f>
        <v>US</v>
      </c>
      <c r="N12" s="15" t="str">
        <f aca="false">IF(M12="","",IF(M12="UNKNOWN","Unknown",IF(M12=Home_Country,"Domestic","Imported")))</f>
        <v>Imported</v>
      </c>
      <c r="O12" s="15" t="str">
        <f aca="false">IF(G12="NOT FOUND","",INDEX(Components!$F$2:$F$500,MATCH(F12,Components!$I$2:$I$500,0)))</f>
        <v>SUP-02</v>
      </c>
      <c r="P12" s="28" t="n">
        <f aca="false">SUMIFS(Sales!$G$2:$G$500,Sales!$I$2:$I$500,A12)</f>
        <v>366</v>
      </c>
      <c r="Q12" s="29" t="n">
        <f aca="false">IF(ISNUMBER(L12),L12*P12,"")</f>
        <v>1769.00976</v>
      </c>
      <c r="R12" s="15" t="str">
        <f aca="false">IF(G12="NOT FOUND","Unknown component; ","")&amp;IF(I12="NO FACTOR","No unit conversion; ","")&amp;IF(AND(G12&lt;&gt;"NOT FOUND",K12=""),"Missing cost; ","")&amp;IF(M12="UNKNOWN","Missing origin; ","")</f>
        <v/>
      </c>
      <c r="S12" s="15" t="str">
        <f aca="false">IF(R12="","OK","CHECK")</f>
        <v>OK</v>
      </c>
    </row>
    <row r="13" customFormat="false" ht="15" hidden="false" customHeight="false" outlineLevel="0" collapsed="false">
      <c r="A13" s="12" t="s">
        <v>108</v>
      </c>
      <c r="B13" s="12" t="n">
        <v>30</v>
      </c>
      <c r="C13" s="12" t="s">
        <v>182</v>
      </c>
      <c r="D13" s="25" t="n">
        <v>0.735</v>
      </c>
      <c r="E13" s="12" t="s">
        <v>66</v>
      </c>
      <c r="F13" s="15" t="str">
        <f aca="false">UPPER(TRIM(C13))</f>
        <v>AGG-20</v>
      </c>
      <c r="G13" s="15" t="str">
        <f aca="false">IFERROR(INDEX(Components!$B$2:$B$500,MATCH(F13,Components!$I$2:$I$500,0)),"NOT FOUND")</f>
        <v>Coarse aggregate 20 mm</v>
      </c>
      <c r="H13" s="15" t="str">
        <f aca="false">IF(G13="NOT FOUND","",INDEX(Components!$C$2:$C$500,MATCH(F13,Components!$I$2:$I$500,0)))</f>
        <v>T</v>
      </c>
      <c r="I13" s="26" t="n">
        <f aca="false">IF(G13="NOT FOUND","",IF(E13=H13,1,IFERROR(INDEX(Unit_Factor,MATCH(E13&amp;"&gt;"&amp;H13,Unit_Key,0)),"NO FACTOR")))</f>
        <v>1</v>
      </c>
      <c r="J13" s="27" t="n">
        <f aca="false">IF(ISNUMBER(I13),D13*I13,"")</f>
        <v>0.735</v>
      </c>
      <c r="K13" s="24" t="n">
        <f aca="false">IF(G13="NOT FOUND","",INDEX(Components!$J$2:$J$500,MATCH(F13,Components!$I$2:$I$500,0)))</f>
        <v>28</v>
      </c>
      <c r="L13" s="24" t="n">
        <f aca="false">IF(AND(ISNUMBER(J13),ISNUMBER(K13)),J13*K13,"")</f>
        <v>20.58</v>
      </c>
      <c r="M13" s="15" t="str">
        <f aca="false">IF(G13="NOT FOUND","",IF(INDEX(Components!$G$2:$G$500,MATCH(F13,Components!$I$2:$I$500,0))="","UNKNOWN",INDEX(Components!$G$2:$G$500,MATCH(F13,Components!$I$2:$I$500,0))))</f>
        <v>CA</v>
      </c>
      <c r="N13" s="15" t="str">
        <f aca="false">IF(M13="","",IF(M13="UNKNOWN","Unknown",IF(M13=Home_Country,"Domestic","Imported")))</f>
        <v>Domestic</v>
      </c>
      <c r="O13" s="15" t="str">
        <f aca="false">IF(G13="NOT FOUND","",INDEX(Components!$F$2:$F$500,MATCH(F13,Components!$I$2:$I$500,0)))</f>
        <v>SUP-03</v>
      </c>
      <c r="P13" s="28" t="n">
        <f aca="false">SUMIFS(Sales!$G$2:$G$500,Sales!$I$2:$I$500,A13)</f>
        <v>366</v>
      </c>
      <c r="Q13" s="29" t="n">
        <f aca="false">IF(ISNUMBER(L13),L13*P13,"")</f>
        <v>7532.28</v>
      </c>
      <c r="R13" s="15" t="str">
        <f aca="false">IF(G13="NOT FOUND","Unknown component; ","")&amp;IF(I13="NO FACTOR","No unit conversion; ","")&amp;IF(AND(G13&lt;&gt;"NOT FOUND",K13=""),"Missing cost; ","")&amp;IF(M13="UNKNOWN","Missing origin; ","")</f>
        <v/>
      </c>
      <c r="S13" s="15" t="str">
        <f aca="false">IF(R13="","OK","CHECK")</f>
        <v>OK</v>
      </c>
    </row>
    <row r="14" customFormat="false" ht="15" hidden="false" customHeight="false" outlineLevel="0" collapsed="false">
      <c r="A14" s="12" t="s">
        <v>108</v>
      </c>
      <c r="B14" s="12" t="n">
        <v>40</v>
      </c>
      <c r="C14" s="12" t="s">
        <v>185</v>
      </c>
      <c r="D14" s="25" t="n">
        <v>0.525</v>
      </c>
      <c r="E14" s="12" t="s">
        <v>66</v>
      </c>
      <c r="F14" s="15" t="str">
        <f aca="false">UPPER(TRIM(C14))</f>
        <v>AGG-SND</v>
      </c>
      <c r="G14" s="15" t="str">
        <f aca="false">IFERROR(INDEX(Components!$B$2:$B$500,MATCH(F14,Components!$I$2:$I$500,0)),"NOT FOUND")</f>
        <v>Concrete sand</v>
      </c>
      <c r="H14" s="15" t="str">
        <f aca="false">IF(G14="NOT FOUND","",INDEX(Components!$C$2:$C$500,MATCH(F14,Components!$I$2:$I$500,0)))</f>
        <v>T</v>
      </c>
      <c r="I14" s="26" t="n">
        <f aca="false">IF(G14="NOT FOUND","",IF(E14=H14,1,IFERROR(INDEX(Unit_Factor,MATCH(E14&amp;"&gt;"&amp;H14,Unit_Key,0)),"NO FACTOR")))</f>
        <v>1</v>
      </c>
      <c r="J14" s="27" t="n">
        <f aca="false">IF(ISNUMBER(I14),D14*I14,"")</f>
        <v>0.525</v>
      </c>
      <c r="K14" s="24" t="n">
        <f aca="false">IF(G14="NOT FOUND","",INDEX(Components!$J$2:$J$500,MATCH(F14,Components!$I$2:$I$500,0)))</f>
        <v>24</v>
      </c>
      <c r="L14" s="24" t="n">
        <f aca="false">IF(AND(ISNUMBER(J14),ISNUMBER(K14)),J14*K14,"")</f>
        <v>12.6</v>
      </c>
      <c r="M14" s="15" t="str">
        <f aca="false">IF(G14="NOT FOUND","",IF(INDEX(Components!$G$2:$G$500,MATCH(F14,Components!$I$2:$I$500,0))="","UNKNOWN",INDEX(Components!$G$2:$G$500,MATCH(F14,Components!$I$2:$I$500,0))))</f>
        <v>CA</v>
      </c>
      <c r="N14" s="15" t="str">
        <f aca="false">IF(M14="","",IF(M14="UNKNOWN","Unknown",IF(M14=Home_Country,"Domestic","Imported")))</f>
        <v>Domestic</v>
      </c>
      <c r="O14" s="15" t="str">
        <f aca="false">IF(G14="NOT FOUND","",INDEX(Components!$F$2:$F$500,MATCH(F14,Components!$I$2:$I$500,0)))</f>
        <v>SUP-03</v>
      </c>
      <c r="P14" s="28" t="n">
        <f aca="false">SUMIFS(Sales!$G$2:$G$500,Sales!$I$2:$I$500,A14)</f>
        <v>366</v>
      </c>
      <c r="Q14" s="29" t="n">
        <f aca="false">IF(ISNUMBER(L14),L14*P14,"")</f>
        <v>4611.6</v>
      </c>
      <c r="R14" s="15" t="str">
        <f aca="false">IF(G14="NOT FOUND","Unknown component; ","")&amp;IF(I14="NO FACTOR","No unit conversion; ","")&amp;IF(AND(G14&lt;&gt;"NOT FOUND",K14=""),"Missing cost; ","")&amp;IF(M14="UNKNOWN","Missing origin; ","")</f>
        <v/>
      </c>
      <c r="S14" s="15" t="str">
        <f aca="false">IF(R14="","OK","CHECK")</f>
        <v>OK</v>
      </c>
    </row>
    <row r="15" customFormat="false" ht="15" hidden="false" customHeight="false" outlineLevel="0" collapsed="false">
      <c r="A15" s="12" t="s">
        <v>108</v>
      </c>
      <c r="B15" s="12" t="n">
        <v>50</v>
      </c>
      <c r="C15" s="12" t="s">
        <v>188</v>
      </c>
      <c r="D15" s="25" t="n">
        <v>1.4</v>
      </c>
      <c r="E15" s="12" t="s">
        <v>190</v>
      </c>
      <c r="F15" s="15" t="str">
        <f aca="false">UPPER(TRIM(C15))</f>
        <v>ADM-SP</v>
      </c>
      <c r="G15" s="15" t="str">
        <f aca="false">IFERROR(INDEX(Components!$B$2:$B$500,MATCH(F15,Components!$I$2:$I$500,0)),"NOT FOUND")</f>
        <v>Superplasticizer admixture</v>
      </c>
      <c r="H15" s="15" t="str">
        <f aca="false">IF(G15="NOT FOUND","",INDEX(Components!$C$2:$C$500,MATCH(F15,Components!$I$2:$I$500,0)))</f>
        <v>L</v>
      </c>
      <c r="I15" s="26" t="n">
        <f aca="false">IF(G15="NOT FOUND","",IF(E15=H15,1,IFERROR(INDEX(Unit_Factor,MATCH(E15&amp;"&gt;"&amp;H15,Unit_Key,0)),"NO FACTOR")))</f>
        <v>1</v>
      </c>
      <c r="J15" s="27" t="n">
        <f aca="false">IF(ISNUMBER(I15),D15*I15,"")</f>
        <v>1.4</v>
      </c>
      <c r="K15" s="24" t="n">
        <f aca="false">IF(G15="NOT FOUND","",INDEX(Components!$J$2:$J$500,MATCH(F15,Components!$I$2:$I$500,0)))</f>
        <v>4.247</v>
      </c>
      <c r="L15" s="24" t="n">
        <f aca="false">IF(AND(ISNUMBER(J15),ISNUMBER(K15)),J15*K15,"")</f>
        <v>5.9458</v>
      </c>
      <c r="M15" s="15" t="str">
        <f aca="false">IF(G15="NOT FOUND","",IF(INDEX(Components!$G$2:$G$500,MATCH(F15,Components!$I$2:$I$500,0))="","UNKNOWN",INDEX(Components!$G$2:$G$500,MATCH(F15,Components!$I$2:$I$500,0))))</f>
        <v>US</v>
      </c>
      <c r="N15" s="15" t="str">
        <f aca="false">IF(M15="","",IF(M15="UNKNOWN","Unknown",IF(M15=Home_Country,"Domestic","Imported")))</f>
        <v>Imported</v>
      </c>
      <c r="O15" s="15" t="str">
        <f aca="false">IF(G15="NOT FOUND","",INDEX(Components!$F$2:$F$500,MATCH(F15,Components!$I$2:$I$500,0)))</f>
        <v>SUP-04</v>
      </c>
      <c r="P15" s="28" t="n">
        <f aca="false">SUMIFS(Sales!$G$2:$G$500,Sales!$I$2:$I$500,A15)</f>
        <v>366</v>
      </c>
      <c r="Q15" s="29" t="n">
        <f aca="false">IF(ISNUMBER(L15),L15*P15,"")</f>
        <v>2176.1628</v>
      </c>
      <c r="R15" s="15" t="str">
        <f aca="false">IF(G15="NOT FOUND","Unknown component; ","")&amp;IF(I15="NO FACTOR","No unit conversion; ","")&amp;IF(AND(G15&lt;&gt;"NOT FOUND",K15=""),"Missing cost; ","")&amp;IF(M15="UNKNOWN","Missing origin; ","")</f>
        <v/>
      </c>
      <c r="S15" s="15" t="str">
        <f aca="false">IF(R15="","OK","CHECK")</f>
        <v>OK</v>
      </c>
    </row>
    <row r="16" customFormat="false" ht="15" hidden="false" customHeight="false" outlineLevel="0" collapsed="false">
      <c r="A16" s="12" t="s">
        <v>108</v>
      </c>
      <c r="B16" s="12" t="n">
        <v>60</v>
      </c>
      <c r="C16" s="12" t="s">
        <v>192</v>
      </c>
      <c r="D16" s="25" t="n">
        <v>0.28</v>
      </c>
      <c r="E16" s="12" t="s">
        <v>190</v>
      </c>
      <c r="F16" s="15" t="str">
        <f aca="false">UPPER(TRIM(C16))</f>
        <v>ADM-AE</v>
      </c>
      <c r="G16" s="15" t="str">
        <f aca="false">IFERROR(INDEX(Components!$B$2:$B$500,MATCH(F16,Components!$I$2:$I$500,0)),"NOT FOUND")</f>
        <v>Air-entraining admixture</v>
      </c>
      <c r="H16" s="15" t="str">
        <f aca="false">IF(G16="NOT FOUND","",INDEX(Components!$C$2:$C$500,MATCH(F16,Components!$I$2:$I$500,0)))</f>
        <v>L</v>
      </c>
      <c r="I16" s="26" t="n">
        <f aca="false">IF(G16="NOT FOUND","",IF(E16=H16,1,IFERROR(INDEX(Unit_Factor,MATCH(E16&amp;"&gt;"&amp;H16,Unit_Key,0)),"NO FACTOR")))</f>
        <v>1</v>
      </c>
      <c r="J16" s="27" t="n">
        <f aca="false">IF(ISNUMBER(I16),D16*I16,"")</f>
        <v>0.28</v>
      </c>
      <c r="K16" s="24" t="n">
        <f aca="false">IF(G16="NOT FOUND","",INDEX(Components!$J$2:$J$500,MATCH(F16,Components!$I$2:$I$500,0)))</f>
        <v>3.288</v>
      </c>
      <c r="L16" s="24" t="n">
        <f aca="false">IF(AND(ISNUMBER(J16),ISNUMBER(K16)),J16*K16,"")</f>
        <v>0.92064</v>
      </c>
      <c r="M16" s="15" t="str">
        <f aca="false">IF(G16="NOT FOUND","",IF(INDEX(Components!$G$2:$G$500,MATCH(F16,Components!$I$2:$I$500,0))="","UNKNOWN",INDEX(Components!$G$2:$G$500,MATCH(F16,Components!$I$2:$I$500,0))))</f>
        <v>US</v>
      </c>
      <c r="N16" s="15" t="str">
        <f aca="false">IF(M16="","",IF(M16="UNKNOWN","Unknown",IF(M16=Home_Country,"Domestic","Imported")))</f>
        <v>Imported</v>
      </c>
      <c r="O16" s="15" t="str">
        <f aca="false">IF(G16="NOT FOUND","",INDEX(Components!$F$2:$F$500,MATCH(F16,Components!$I$2:$I$500,0)))</f>
        <v>SUP-04</v>
      </c>
      <c r="P16" s="28" t="n">
        <f aca="false">SUMIFS(Sales!$G$2:$G$500,Sales!$I$2:$I$500,A16)</f>
        <v>366</v>
      </c>
      <c r="Q16" s="29" t="n">
        <f aca="false">IF(ISNUMBER(L16),L16*P16,"")</f>
        <v>336.95424</v>
      </c>
      <c r="R16" s="15" t="str">
        <f aca="false">IF(G16="NOT FOUND","Unknown component; ","")&amp;IF(I16="NO FACTOR","No unit conversion; ","")&amp;IF(AND(G16&lt;&gt;"NOT FOUND",K16=""),"Missing cost; ","")&amp;IF(M16="UNKNOWN","Missing origin; ","")</f>
        <v/>
      </c>
      <c r="S16" s="15" t="str">
        <f aca="false">IF(R16="","OK","CHECK")</f>
        <v>OK</v>
      </c>
    </row>
    <row r="17" customFormat="false" ht="15" hidden="false" customHeight="false" outlineLevel="0" collapsed="false">
      <c r="A17" s="12" t="s">
        <v>108</v>
      </c>
      <c r="B17" s="12" t="n">
        <v>70</v>
      </c>
      <c r="C17" s="12" t="s">
        <v>198</v>
      </c>
      <c r="D17" s="25" t="n">
        <v>121</v>
      </c>
      <c r="E17" s="12" t="s">
        <v>61</v>
      </c>
      <c r="F17" s="15" t="str">
        <f aca="false">UPPER(TRIM(C17))</f>
        <v>RB-15M</v>
      </c>
      <c r="G17" s="15" t="str">
        <f aca="false">IFERROR(INDEX(Components!$B$2:$B$500,MATCH(F17,Components!$I$2:$I$500,0)),"NOT FOUND")</f>
        <v>Rebar 15M</v>
      </c>
      <c r="H17" s="15" t="str">
        <f aca="false">IF(G17="NOT FOUND","",INDEX(Components!$C$2:$C$500,MATCH(F17,Components!$I$2:$I$500,0)))</f>
        <v>KG</v>
      </c>
      <c r="I17" s="26" t="n">
        <f aca="false">IF(G17="NOT FOUND","",IF(E17=H17,1,IFERROR(INDEX(Unit_Factor,MATCH(E17&amp;"&gt;"&amp;H17,Unit_Key,0)),"NO FACTOR")))</f>
        <v>0.45359237</v>
      </c>
      <c r="J17" s="27" t="n">
        <f aca="false">IF(ISNUMBER(I17),D17*I17,"")</f>
        <v>54.88467677</v>
      </c>
      <c r="K17" s="24" t="n">
        <f aca="false">IF(G17="NOT FOUND","",INDEX(Components!$J$2:$J$500,MATCH(F17,Components!$I$2:$I$500,0)))</f>
        <v>1.31</v>
      </c>
      <c r="L17" s="24" t="n">
        <f aca="false">IF(AND(ISNUMBER(J17),ISNUMBER(K17)),J17*K17,"")</f>
        <v>71.8989265687</v>
      </c>
      <c r="M17" s="15" t="str">
        <f aca="false">IF(G17="NOT FOUND","",IF(INDEX(Components!$G$2:$G$500,MATCH(F17,Components!$I$2:$I$500,0))="","UNKNOWN",INDEX(Components!$G$2:$G$500,MATCH(F17,Components!$I$2:$I$500,0))))</f>
        <v>CA</v>
      </c>
      <c r="N17" s="15" t="str">
        <f aca="false">IF(M17="","",IF(M17="UNKNOWN","Unknown",IF(M17=Home_Country,"Domestic","Imported")))</f>
        <v>Domestic</v>
      </c>
      <c r="O17" s="15" t="str">
        <f aca="false">IF(G17="NOT FOUND","",INDEX(Components!$F$2:$F$500,MATCH(F17,Components!$I$2:$I$500,0)))</f>
        <v>SUP-05</v>
      </c>
      <c r="P17" s="28" t="n">
        <f aca="false">SUMIFS(Sales!$G$2:$G$500,Sales!$I$2:$I$500,A17)</f>
        <v>366</v>
      </c>
      <c r="Q17" s="29" t="n">
        <f aca="false">IF(ISNUMBER(L17),L17*P17,"")</f>
        <v>26315.0071241442</v>
      </c>
      <c r="R17" s="15" t="str">
        <f aca="false">IF(G17="NOT FOUND","Unknown component; ","")&amp;IF(I17="NO FACTOR","No unit conversion; ","")&amp;IF(AND(G17&lt;&gt;"NOT FOUND",K17=""),"Missing cost; ","")&amp;IF(M17="UNKNOWN","Missing origin; ","")</f>
        <v/>
      </c>
      <c r="S17" s="15" t="str">
        <f aca="false">IF(R17="","OK","CHECK")</f>
        <v>OK</v>
      </c>
    </row>
    <row r="18" customFormat="false" ht="15" hidden="false" customHeight="false" outlineLevel="0" collapsed="false">
      <c r="A18" s="12" t="s">
        <v>108</v>
      </c>
      <c r="B18" s="12" t="n">
        <v>80</v>
      </c>
      <c r="C18" s="12" t="s">
        <v>211</v>
      </c>
      <c r="D18" s="25" t="n">
        <v>1</v>
      </c>
      <c r="E18" s="12" t="s">
        <v>106</v>
      </c>
      <c r="F18" s="15" t="str">
        <f aca="false">UPPER(TRIM(C18))</f>
        <v>GSK-0900</v>
      </c>
      <c r="G18" s="15" t="str">
        <f aca="false">IFERROR(INDEX(Components!$B$2:$B$500,MATCH(F18,Components!$I$2:$I$500,0)),"NOT FOUND")</f>
        <v>Rubber pipe gasket 900 mm</v>
      </c>
      <c r="H18" s="15" t="str">
        <f aca="false">IF(G18="NOT FOUND","",INDEX(Components!$C$2:$C$500,MATCH(F18,Components!$I$2:$I$500,0)))</f>
        <v>EA</v>
      </c>
      <c r="I18" s="26" t="n">
        <f aca="false">IF(G18="NOT FOUND","",IF(E18=H18,1,IFERROR(INDEX(Unit_Factor,MATCH(E18&amp;"&gt;"&amp;H18,Unit_Key,0)),"NO FACTOR")))</f>
        <v>1</v>
      </c>
      <c r="J18" s="27" t="n">
        <f aca="false">IF(ISNUMBER(I18),D18*I18,"")</f>
        <v>1</v>
      </c>
      <c r="K18" s="24" t="n">
        <f aca="false">IF(G18="NOT FOUND","",INDEX(Components!$J$2:$J$500,MATCH(F18,Components!$I$2:$I$500,0)))</f>
        <v>35.62</v>
      </c>
      <c r="L18" s="24" t="n">
        <f aca="false">IF(AND(ISNUMBER(J18),ISNUMBER(K18)),J18*K18,"")</f>
        <v>35.62</v>
      </c>
      <c r="M18" s="15" t="str">
        <f aca="false">IF(G18="NOT FOUND","",IF(INDEX(Components!$G$2:$G$500,MATCH(F18,Components!$I$2:$I$500,0))="","UNKNOWN",INDEX(Components!$G$2:$G$500,MATCH(F18,Components!$I$2:$I$500,0))))</f>
        <v>MX</v>
      </c>
      <c r="N18" s="15" t="str">
        <f aca="false">IF(M18="","",IF(M18="UNKNOWN","Unknown",IF(M18=Home_Country,"Domestic","Imported")))</f>
        <v>Imported</v>
      </c>
      <c r="O18" s="15" t="str">
        <f aca="false">IF(G18="NOT FOUND","",INDEX(Components!$F$2:$F$500,MATCH(F18,Components!$I$2:$I$500,0)))</f>
        <v>SUP-09</v>
      </c>
      <c r="P18" s="28" t="n">
        <f aca="false">SUMIFS(Sales!$G$2:$G$500,Sales!$I$2:$I$500,A18)</f>
        <v>366</v>
      </c>
      <c r="Q18" s="29" t="n">
        <f aca="false">IF(ISNUMBER(L18),L18*P18,"")</f>
        <v>13036.92</v>
      </c>
      <c r="R18" s="15" t="str">
        <f aca="false">IF(G18="NOT FOUND","Unknown component; ","")&amp;IF(I18="NO FACTOR","No unit conversion; ","")&amp;IF(AND(G18&lt;&gt;"NOT FOUND",K18=""),"Missing cost; ","")&amp;IF(M18="UNKNOWN","Missing origin; ","")</f>
        <v/>
      </c>
      <c r="S18" s="15" t="str">
        <f aca="false">IF(R18="","OK","CHECK")</f>
        <v>OK</v>
      </c>
    </row>
    <row r="19" customFormat="false" ht="15" hidden="false" customHeight="false" outlineLevel="0" collapsed="false">
      <c r="A19" s="12" t="s">
        <v>108</v>
      </c>
      <c r="B19" s="12" t="n">
        <v>90</v>
      </c>
      <c r="C19" s="12" t="s">
        <v>227</v>
      </c>
      <c r="D19" s="25" t="n">
        <v>0.4</v>
      </c>
      <c r="E19" s="12" t="s">
        <v>190</v>
      </c>
      <c r="F19" s="15" t="str">
        <f aca="false">UPPER(TRIM(C19))</f>
        <v>FRM-OIL</v>
      </c>
      <c r="G19" s="15" t="str">
        <f aca="false">IFERROR(INDEX(Components!$B$2:$B$500,MATCH(F19,Components!$I$2:$I$500,0)),"NOT FOUND")</f>
        <v>Form release agent</v>
      </c>
      <c r="H19" s="15" t="str">
        <f aca="false">IF(G19="NOT FOUND","",INDEX(Components!$C$2:$C$500,MATCH(F19,Components!$I$2:$I$500,0)))</f>
        <v>L</v>
      </c>
      <c r="I19" s="26" t="n">
        <f aca="false">IF(G19="NOT FOUND","",IF(E19=H19,1,IFERROR(INDEX(Unit_Factor,MATCH(E19&amp;"&gt;"&amp;H19,Unit_Key,0)),"NO FACTOR")))</f>
        <v>1</v>
      </c>
      <c r="J19" s="27" t="n">
        <f aca="false">IF(ISNUMBER(I19),D19*I19,"")</f>
        <v>0.4</v>
      </c>
      <c r="K19" s="24" t="n">
        <f aca="false">IF(G19="NOT FOUND","",INDEX(Components!$J$2:$J$500,MATCH(F19,Components!$I$2:$I$500,0)))</f>
        <v>1.15</v>
      </c>
      <c r="L19" s="24" t="n">
        <f aca="false">IF(AND(ISNUMBER(J19),ISNUMBER(K19)),J19*K19,"")</f>
        <v>0.46</v>
      </c>
      <c r="M19" s="15" t="str">
        <f aca="false">IF(G19="NOT FOUND","",IF(INDEX(Components!$G$2:$G$500,MATCH(F19,Components!$I$2:$I$500,0))="","UNKNOWN",INDEX(Components!$G$2:$G$500,MATCH(F19,Components!$I$2:$I$500,0))))</f>
        <v>CA</v>
      </c>
      <c r="N19" s="15" t="str">
        <f aca="false">IF(M19="","",IF(M19="UNKNOWN","Unknown",IF(M19=Home_Country,"Domestic","Imported")))</f>
        <v>Domestic</v>
      </c>
      <c r="O19" s="15" t="str">
        <f aca="false">IF(G19="NOT FOUND","",INDEX(Components!$F$2:$F$500,MATCH(F19,Components!$I$2:$I$500,0)))</f>
        <v>SUP-12</v>
      </c>
      <c r="P19" s="28" t="n">
        <f aca="false">SUMIFS(Sales!$G$2:$G$500,Sales!$I$2:$I$500,A19)</f>
        <v>366</v>
      </c>
      <c r="Q19" s="29" t="n">
        <f aca="false">IF(ISNUMBER(L19),L19*P19,"")</f>
        <v>168.36</v>
      </c>
      <c r="R19" s="15" t="str">
        <f aca="false">IF(G19="NOT FOUND","Unknown component; ","")&amp;IF(I19="NO FACTOR","No unit conversion; ","")&amp;IF(AND(G19&lt;&gt;"NOT FOUND",K19=""),"Missing cost; ","")&amp;IF(M19="UNKNOWN","Missing origin; ","")</f>
        <v/>
      </c>
      <c r="S19" s="15" t="str">
        <f aca="false">IF(R19="","OK","CHECK")</f>
        <v>OK</v>
      </c>
    </row>
    <row r="20" customFormat="false" ht="15" hidden="false" customHeight="false" outlineLevel="0" collapsed="false">
      <c r="A20" s="12" t="s">
        <v>110</v>
      </c>
      <c r="B20" s="12" t="n">
        <v>10</v>
      </c>
      <c r="C20" s="12" t="s">
        <v>176</v>
      </c>
      <c r="D20" s="25" t="n">
        <v>0.385</v>
      </c>
      <c r="E20" s="12" t="s">
        <v>66</v>
      </c>
      <c r="F20" s="15" t="str">
        <f aca="false">UPPER(TRIM(C20))</f>
        <v>CMT-GU</v>
      </c>
      <c r="G20" s="15" t="str">
        <f aca="false">IFERROR(INDEX(Components!$B$2:$B$500,MATCH(F20,Components!$I$2:$I$500,0)),"NOT FOUND")</f>
        <v>Portland cement Type GU</v>
      </c>
      <c r="H20" s="15" t="str">
        <f aca="false">IF(G20="NOT FOUND","",INDEX(Components!$C$2:$C$500,MATCH(F20,Components!$I$2:$I$500,0)))</f>
        <v>T</v>
      </c>
      <c r="I20" s="26" t="n">
        <f aca="false">IF(G20="NOT FOUND","",IF(E20=H20,1,IFERROR(INDEX(Unit_Factor,MATCH(E20&amp;"&gt;"&amp;H20,Unit_Key,0)),"NO FACTOR")))</f>
        <v>1</v>
      </c>
      <c r="J20" s="27" t="n">
        <f aca="false">IF(ISNUMBER(I20),D20*I20,"")</f>
        <v>0.385</v>
      </c>
      <c r="K20" s="24" t="n">
        <f aca="false">IF(G20="NOT FOUND","",INDEX(Components!$J$2:$J$500,MATCH(F20,Components!$I$2:$I$500,0)))</f>
        <v>235</v>
      </c>
      <c r="L20" s="24" t="n">
        <f aca="false">IF(AND(ISNUMBER(J20),ISNUMBER(K20)),J20*K20,"")</f>
        <v>90.475</v>
      </c>
      <c r="M20" s="15" t="str">
        <f aca="false">IF(G20="NOT FOUND","",IF(INDEX(Components!$G$2:$G$500,MATCH(F20,Components!$I$2:$I$500,0))="","UNKNOWN",INDEX(Components!$G$2:$G$500,MATCH(F20,Components!$I$2:$I$500,0))))</f>
        <v>CA</v>
      </c>
      <c r="N20" s="15" t="str">
        <f aca="false">IF(M20="","",IF(M20="UNKNOWN","Unknown",IF(M20=Home_Country,"Domestic","Imported")))</f>
        <v>Domestic</v>
      </c>
      <c r="O20" s="15" t="str">
        <f aca="false">IF(G20="NOT FOUND","",INDEX(Components!$F$2:$F$500,MATCH(F20,Components!$I$2:$I$500,0)))</f>
        <v>SUP-01</v>
      </c>
      <c r="P20" s="28" t="n">
        <f aca="false">SUMIFS(Sales!$G$2:$G$500,Sales!$I$2:$I$500,A20)</f>
        <v>504</v>
      </c>
      <c r="Q20" s="29" t="n">
        <f aca="false">IF(ISNUMBER(L20),L20*P20,"")</f>
        <v>45599.4</v>
      </c>
      <c r="R20" s="15" t="str">
        <f aca="false">IF(G20="NOT FOUND","Unknown component; ","")&amp;IF(I20="NO FACTOR","No unit conversion; ","")&amp;IF(AND(G20&lt;&gt;"NOT FOUND",K20=""),"Missing cost; ","")&amp;IF(M20="UNKNOWN","Missing origin; ","")</f>
        <v/>
      </c>
      <c r="S20" s="15" t="str">
        <f aca="false">IF(R20="","OK","CHECK")</f>
        <v>OK</v>
      </c>
    </row>
    <row r="21" customFormat="false" ht="15" hidden="false" customHeight="false" outlineLevel="0" collapsed="false">
      <c r="A21" s="12" t="s">
        <v>110</v>
      </c>
      <c r="B21" s="12" t="n">
        <v>20</v>
      </c>
      <c r="C21" s="12" t="s">
        <v>179</v>
      </c>
      <c r="D21" s="25" t="n">
        <v>0.077</v>
      </c>
      <c r="E21" s="12" t="s">
        <v>66</v>
      </c>
      <c r="F21" s="15" t="str">
        <f aca="false">UPPER(TRIM(C21))</f>
        <v>SCM-FA</v>
      </c>
      <c r="G21" s="15" t="str">
        <f aca="false">IFERROR(INDEX(Components!$B$2:$B$500,MATCH(F21,Components!$I$2:$I$500,0)),"NOT FOUND")</f>
        <v>Fly ash Class F</v>
      </c>
      <c r="H21" s="15" t="str">
        <f aca="false">IF(G21="NOT FOUND","",INDEX(Components!$C$2:$C$500,MATCH(F21,Components!$I$2:$I$500,0)))</f>
        <v>T</v>
      </c>
      <c r="I21" s="26" t="n">
        <f aca="false">IF(G21="NOT FOUND","",IF(E21=H21,1,IFERROR(INDEX(Unit_Factor,MATCH(E21&amp;"&gt;"&amp;H21,Unit_Key,0)),"NO FACTOR")))</f>
        <v>1</v>
      </c>
      <c r="J21" s="27" t="n">
        <f aca="false">IF(ISNUMBER(I21),D21*I21,"")</f>
        <v>0.077</v>
      </c>
      <c r="K21" s="24" t="n">
        <f aca="false">IF(G21="NOT FOUND","",INDEX(Components!$J$2:$J$500,MATCH(F21,Components!$I$2:$I$500,0)))</f>
        <v>98.64</v>
      </c>
      <c r="L21" s="24" t="n">
        <f aca="false">IF(AND(ISNUMBER(J21),ISNUMBER(K21)),J21*K21,"")</f>
        <v>7.59528</v>
      </c>
      <c r="M21" s="15" t="str">
        <f aca="false">IF(G21="NOT FOUND","",IF(INDEX(Components!$G$2:$G$500,MATCH(F21,Components!$I$2:$I$500,0))="","UNKNOWN",INDEX(Components!$G$2:$G$500,MATCH(F21,Components!$I$2:$I$500,0))))</f>
        <v>US</v>
      </c>
      <c r="N21" s="15" t="str">
        <f aca="false">IF(M21="","",IF(M21="UNKNOWN","Unknown",IF(M21=Home_Country,"Domestic","Imported")))</f>
        <v>Imported</v>
      </c>
      <c r="O21" s="15" t="str">
        <f aca="false">IF(G21="NOT FOUND","",INDEX(Components!$F$2:$F$500,MATCH(F21,Components!$I$2:$I$500,0)))</f>
        <v>SUP-02</v>
      </c>
      <c r="P21" s="28" t="n">
        <f aca="false">SUMIFS(Sales!$G$2:$G$500,Sales!$I$2:$I$500,A21)</f>
        <v>504</v>
      </c>
      <c r="Q21" s="29" t="n">
        <f aca="false">IF(ISNUMBER(L21),L21*P21,"")</f>
        <v>3828.02112</v>
      </c>
      <c r="R21" s="15" t="str">
        <f aca="false">IF(G21="NOT FOUND","Unknown component; ","")&amp;IF(I21="NO FACTOR","No unit conversion; ","")&amp;IF(AND(G21&lt;&gt;"NOT FOUND",K21=""),"Missing cost; ","")&amp;IF(M21="UNKNOWN","Missing origin; ","")</f>
        <v/>
      </c>
      <c r="S21" s="15" t="str">
        <f aca="false">IF(R21="","OK","CHECK")</f>
        <v>OK</v>
      </c>
    </row>
    <row r="22" customFormat="false" ht="15" hidden="false" customHeight="false" outlineLevel="0" collapsed="false">
      <c r="A22" s="12" t="s">
        <v>110</v>
      </c>
      <c r="B22" s="12" t="n">
        <v>30</v>
      </c>
      <c r="C22" s="12" t="s">
        <v>182</v>
      </c>
      <c r="D22" s="25" t="n">
        <v>1.155</v>
      </c>
      <c r="E22" s="12" t="s">
        <v>66</v>
      </c>
      <c r="F22" s="15" t="str">
        <f aca="false">UPPER(TRIM(C22))</f>
        <v>AGG-20</v>
      </c>
      <c r="G22" s="15" t="str">
        <f aca="false">IFERROR(INDEX(Components!$B$2:$B$500,MATCH(F22,Components!$I$2:$I$500,0)),"NOT FOUND")</f>
        <v>Coarse aggregate 20 mm</v>
      </c>
      <c r="H22" s="15" t="str">
        <f aca="false">IF(G22="NOT FOUND","",INDEX(Components!$C$2:$C$500,MATCH(F22,Components!$I$2:$I$500,0)))</f>
        <v>T</v>
      </c>
      <c r="I22" s="26" t="n">
        <f aca="false">IF(G22="NOT FOUND","",IF(E22=H22,1,IFERROR(INDEX(Unit_Factor,MATCH(E22&amp;"&gt;"&amp;H22,Unit_Key,0)),"NO FACTOR")))</f>
        <v>1</v>
      </c>
      <c r="J22" s="27" t="n">
        <f aca="false">IF(ISNUMBER(I22),D22*I22,"")</f>
        <v>1.155</v>
      </c>
      <c r="K22" s="24" t="n">
        <f aca="false">IF(G22="NOT FOUND","",INDEX(Components!$J$2:$J$500,MATCH(F22,Components!$I$2:$I$500,0)))</f>
        <v>28</v>
      </c>
      <c r="L22" s="24" t="n">
        <f aca="false">IF(AND(ISNUMBER(J22),ISNUMBER(K22)),J22*K22,"")</f>
        <v>32.34</v>
      </c>
      <c r="M22" s="15" t="str">
        <f aca="false">IF(G22="NOT FOUND","",IF(INDEX(Components!$G$2:$G$500,MATCH(F22,Components!$I$2:$I$500,0))="","UNKNOWN",INDEX(Components!$G$2:$G$500,MATCH(F22,Components!$I$2:$I$500,0))))</f>
        <v>CA</v>
      </c>
      <c r="N22" s="15" t="str">
        <f aca="false">IF(M22="","",IF(M22="UNKNOWN","Unknown",IF(M22=Home_Country,"Domestic","Imported")))</f>
        <v>Domestic</v>
      </c>
      <c r="O22" s="15" t="str">
        <f aca="false">IF(G22="NOT FOUND","",INDEX(Components!$F$2:$F$500,MATCH(F22,Components!$I$2:$I$500,0)))</f>
        <v>SUP-03</v>
      </c>
      <c r="P22" s="28" t="n">
        <f aca="false">SUMIFS(Sales!$G$2:$G$500,Sales!$I$2:$I$500,A22)</f>
        <v>504</v>
      </c>
      <c r="Q22" s="29" t="n">
        <f aca="false">IF(ISNUMBER(L22),L22*P22,"")</f>
        <v>16299.36</v>
      </c>
      <c r="R22" s="15" t="str">
        <f aca="false">IF(G22="NOT FOUND","Unknown component; ","")&amp;IF(I22="NO FACTOR","No unit conversion; ","")&amp;IF(AND(G22&lt;&gt;"NOT FOUND",K22=""),"Missing cost; ","")&amp;IF(M22="UNKNOWN","Missing origin; ","")</f>
        <v/>
      </c>
      <c r="S22" s="15" t="str">
        <f aca="false">IF(R22="","OK","CHECK")</f>
        <v>OK</v>
      </c>
    </row>
    <row r="23" customFormat="false" ht="15" hidden="false" customHeight="false" outlineLevel="0" collapsed="false">
      <c r="A23" s="12" t="s">
        <v>110</v>
      </c>
      <c r="B23" s="12" t="n">
        <v>40</v>
      </c>
      <c r="C23" s="12" t="s">
        <v>185</v>
      </c>
      <c r="D23" s="25" t="n">
        <v>0.825</v>
      </c>
      <c r="E23" s="12" t="s">
        <v>66</v>
      </c>
      <c r="F23" s="15" t="str">
        <f aca="false">UPPER(TRIM(C23))</f>
        <v>AGG-SND</v>
      </c>
      <c r="G23" s="15" t="str">
        <f aca="false">IFERROR(INDEX(Components!$B$2:$B$500,MATCH(F23,Components!$I$2:$I$500,0)),"NOT FOUND")</f>
        <v>Concrete sand</v>
      </c>
      <c r="H23" s="15" t="str">
        <f aca="false">IF(G23="NOT FOUND","",INDEX(Components!$C$2:$C$500,MATCH(F23,Components!$I$2:$I$500,0)))</f>
        <v>T</v>
      </c>
      <c r="I23" s="26" t="n">
        <f aca="false">IF(G23="NOT FOUND","",IF(E23=H23,1,IFERROR(INDEX(Unit_Factor,MATCH(E23&amp;"&gt;"&amp;H23,Unit_Key,0)),"NO FACTOR")))</f>
        <v>1</v>
      </c>
      <c r="J23" s="27" t="n">
        <f aca="false">IF(ISNUMBER(I23),D23*I23,"")</f>
        <v>0.825</v>
      </c>
      <c r="K23" s="24" t="n">
        <f aca="false">IF(G23="NOT FOUND","",INDEX(Components!$J$2:$J$500,MATCH(F23,Components!$I$2:$I$500,0)))</f>
        <v>24</v>
      </c>
      <c r="L23" s="24" t="n">
        <f aca="false">IF(AND(ISNUMBER(J23),ISNUMBER(K23)),J23*K23,"")</f>
        <v>19.8</v>
      </c>
      <c r="M23" s="15" t="str">
        <f aca="false">IF(G23="NOT FOUND","",IF(INDEX(Components!$G$2:$G$500,MATCH(F23,Components!$I$2:$I$500,0))="","UNKNOWN",INDEX(Components!$G$2:$G$500,MATCH(F23,Components!$I$2:$I$500,0))))</f>
        <v>CA</v>
      </c>
      <c r="N23" s="15" t="str">
        <f aca="false">IF(M23="","",IF(M23="UNKNOWN","Unknown",IF(M23=Home_Country,"Domestic","Imported")))</f>
        <v>Domestic</v>
      </c>
      <c r="O23" s="15" t="str">
        <f aca="false">IF(G23="NOT FOUND","",INDEX(Components!$F$2:$F$500,MATCH(F23,Components!$I$2:$I$500,0)))</f>
        <v>SUP-03</v>
      </c>
      <c r="P23" s="28" t="n">
        <f aca="false">SUMIFS(Sales!$G$2:$G$500,Sales!$I$2:$I$500,A23)</f>
        <v>504</v>
      </c>
      <c r="Q23" s="29" t="n">
        <f aca="false">IF(ISNUMBER(L23),L23*P23,"")</f>
        <v>9979.2</v>
      </c>
      <c r="R23" s="15" t="str">
        <f aca="false">IF(G23="NOT FOUND","Unknown component; ","")&amp;IF(I23="NO FACTOR","No unit conversion; ","")&amp;IF(AND(G23&lt;&gt;"NOT FOUND",K23=""),"Missing cost; ","")&amp;IF(M23="UNKNOWN","Missing origin; ","")</f>
        <v/>
      </c>
      <c r="S23" s="15" t="str">
        <f aca="false">IF(R23="","OK","CHECK")</f>
        <v>OK</v>
      </c>
    </row>
    <row r="24" customFormat="false" ht="15" hidden="false" customHeight="false" outlineLevel="0" collapsed="false">
      <c r="A24" s="12" t="s">
        <v>110</v>
      </c>
      <c r="B24" s="12" t="n">
        <v>50</v>
      </c>
      <c r="C24" s="12" t="s">
        <v>188</v>
      </c>
      <c r="D24" s="25" t="n">
        <v>2.2</v>
      </c>
      <c r="E24" s="12" t="s">
        <v>190</v>
      </c>
      <c r="F24" s="15" t="str">
        <f aca="false">UPPER(TRIM(C24))</f>
        <v>ADM-SP</v>
      </c>
      <c r="G24" s="15" t="str">
        <f aca="false">IFERROR(INDEX(Components!$B$2:$B$500,MATCH(F24,Components!$I$2:$I$500,0)),"NOT FOUND")</f>
        <v>Superplasticizer admixture</v>
      </c>
      <c r="H24" s="15" t="str">
        <f aca="false">IF(G24="NOT FOUND","",INDEX(Components!$C$2:$C$500,MATCH(F24,Components!$I$2:$I$500,0)))</f>
        <v>L</v>
      </c>
      <c r="I24" s="26" t="n">
        <f aca="false">IF(G24="NOT FOUND","",IF(E24=H24,1,IFERROR(INDEX(Unit_Factor,MATCH(E24&amp;"&gt;"&amp;H24,Unit_Key,0)),"NO FACTOR")))</f>
        <v>1</v>
      </c>
      <c r="J24" s="27" t="n">
        <f aca="false">IF(ISNUMBER(I24),D24*I24,"")</f>
        <v>2.2</v>
      </c>
      <c r="K24" s="24" t="n">
        <f aca="false">IF(G24="NOT FOUND","",INDEX(Components!$J$2:$J$500,MATCH(F24,Components!$I$2:$I$500,0)))</f>
        <v>4.247</v>
      </c>
      <c r="L24" s="24" t="n">
        <f aca="false">IF(AND(ISNUMBER(J24),ISNUMBER(K24)),J24*K24,"")</f>
        <v>9.3434</v>
      </c>
      <c r="M24" s="15" t="str">
        <f aca="false">IF(G24="NOT FOUND","",IF(INDEX(Components!$G$2:$G$500,MATCH(F24,Components!$I$2:$I$500,0))="","UNKNOWN",INDEX(Components!$G$2:$G$500,MATCH(F24,Components!$I$2:$I$500,0))))</f>
        <v>US</v>
      </c>
      <c r="N24" s="15" t="str">
        <f aca="false">IF(M24="","",IF(M24="UNKNOWN","Unknown",IF(M24=Home_Country,"Domestic","Imported")))</f>
        <v>Imported</v>
      </c>
      <c r="O24" s="15" t="str">
        <f aca="false">IF(G24="NOT FOUND","",INDEX(Components!$F$2:$F$500,MATCH(F24,Components!$I$2:$I$500,0)))</f>
        <v>SUP-04</v>
      </c>
      <c r="P24" s="28" t="n">
        <f aca="false">SUMIFS(Sales!$G$2:$G$500,Sales!$I$2:$I$500,A24)</f>
        <v>504</v>
      </c>
      <c r="Q24" s="29" t="n">
        <f aca="false">IF(ISNUMBER(L24),L24*P24,"")</f>
        <v>4709.0736</v>
      </c>
      <c r="R24" s="15" t="str">
        <f aca="false">IF(G24="NOT FOUND","Unknown component; ","")&amp;IF(I24="NO FACTOR","No unit conversion; ","")&amp;IF(AND(G24&lt;&gt;"NOT FOUND",K24=""),"Missing cost; ","")&amp;IF(M24="UNKNOWN","Missing origin; ","")</f>
        <v/>
      </c>
      <c r="S24" s="15" t="str">
        <f aca="false">IF(R24="","OK","CHECK")</f>
        <v>OK</v>
      </c>
    </row>
    <row r="25" customFormat="false" ht="15" hidden="false" customHeight="false" outlineLevel="0" collapsed="false">
      <c r="A25" s="12" t="s">
        <v>110</v>
      </c>
      <c r="B25" s="12" t="n">
        <v>60</v>
      </c>
      <c r="C25" s="12" t="s">
        <v>192</v>
      </c>
      <c r="D25" s="25" t="n">
        <v>0.44</v>
      </c>
      <c r="E25" s="12" t="s">
        <v>190</v>
      </c>
      <c r="F25" s="15" t="str">
        <f aca="false">UPPER(TRIM(C25))</f>
        <v>ADM-AE</v>
      </c>
      <c r="G25" s="15" t="str">
        <f aca="false">IFERROR(INDEX(Components!$B$2:$B$500,MATCH(F25,Components!$I$2:$I$500,0)),"NOT FOUND")</f>
        <v>Air-entraining admixture</v>
      </c>
      <c r="H25" s="15" t="str">
        <f aca="false">IF(G25="NOT FOUND","",INDEX(Components!$C$2:$C$500,MATCH(F25,Components!$I$2:$I$500,0)))</f>
        <v>L</v>
      </c>
      <c r="I25" s="26" t="n">
        <f aca="false">IF(G25="NOT FOUND","",IF(E25=H25,1,IFERROR(INDEX(Unit_Factor,MATCH(E25&amp;"&gt;"&amp;H25,Unit_Key,0)),"NO FACTOR")))</f>
        <v>1</v>
      </c>
      <c r="J25" s="27" t="n">
        <f aca="false">IF(ISNUMBER(I25),D25*I25,"")</f>
        <v>0.44</v>
      </c>
      <c r="K25" s="24" t="n">
        <f aca="false">IF(G25="NOT FOUND","",INDEX(Components!$J$2:$J$500,MATCH(F25,Components!$I$2:$I$500,0)))</f>
        <v>3.288</v>
      </c>
      <c r="L25" s="24" t="n">
        <f aca="false">IF(AND(ISNUMBER(J25),ISNUMBER(K25)),J25*K25,"")</f>
        <v>1.44672</v>
      </c>
      <c r="M25" s="15" t="str">
        <f aca="false">IF(G25="NOT FOUND","",IF(INDEX(Components!$G$2:$G$500,MATCH(F25,Components!$I$2:$I$500,0))="","UNKNOWN",INDEX(Components!$G$2:$G$500,MATCH(F25,Components!$I$2:$I$500,0))))</f>
        <v>US</v>
      </c>
      <c r="N25" s="15" t="str">
        <f aca="false">IF(M25="","",IF(M25="UNKNOWN","Unknown",IF(M25=Home_Country,"Domestic","Imported")))</f>
        <v>Imported</v>
      </c>
      <c r="O25" s="15" t="str">
        <f aca="false">IF(G25="NOT FOUND","",INDEX(Components!$F$2:$F$500,MATCH(F25,Components!$I$2:$I$500,0)))</f>
        <v>SUP-04</v>
      </c>
      <c r="P25" s="28" t="n">
        <f aca="false">SUMIFS(Sales!$G$2:$G$500,Sales!$I$2:$I$500,A25)</f>
        <v>504</v>
      </c>
      <c r="Q25" s="29" t="n">
        <f aca="false">IF(ISNUMBER(L25),L25*P25,"")</f>
        <v>729.14688</v>
      </c>
      <c r="R25" s="15" t="str">
        <f aca="false">IF(G25="NOT FOUND","Unknown component; ","")&amp;IF(I25="NO FACTOR","No unit conversion; ","")&amp;IF(AND(G25&lt;&gt;"NOT FOUND",K25=""),"Missing cost; ","")&amp;IF(M25="UNKNOWN","Missing origin; ","")</f>
        <v/>
      </c>
      <c r="S25" s="15" t="str">
        <f aca="false">IF(R25="","OK","CHECK")</f>
        <v>OK</v>
      </c>
    </row>
    <row r="26" customFormat="false" ht="15" hidden="false" customHeight="false" outlineLevel="0" collapsed="false">
      <c r="A26" s="12" t="s">
        <v>110</v>
      </c>
      <c r="B26" s="12" t="n">
        <v>70</v>
      </c>
      <c r="C26" s="12" t="s">
        <v>198</v>
      </c>
      <c r="D26" s="25" t="n">
        <v>95</v>
      </c>
      <c r="E26" s="12" t="s">
        <v>62</v>
      </c>
      <c r="F26" s="15" t="str">
        <f aca="false">UPPER(TRIM(C26))</f>
        <v>RB-15M</v>
      </c>
      <c r="G26" s="15" t="str">
        <f aca="false">IFERROR(INDEX(Components!$B$2:$B$500,MATCH(F26,Components!$I$2:$I$500,0)),"NOT FOUND")</f>
        <v>Rebar 15M</v>
      </c>
      <c r="H26" s="15" t="str">
        <f aca="false">IF(G26="NOT FOUND","",INDEX(Components!$C$2:$C$500,MATCH(F26,Components!$I$2:$I$500,0)))</f>
        <v>KG</v>
      </c>
      <c r="I26" s="26" t="n">
        <f aca="false">IF(G26="NOT FOUND","",IF(E26=H26,1,IFERROR(INDEX(Unit_Factor,MATCH(E26&amp;"&gt;"&amp;H26,Unit_Key,0)),"NO FACTOR")))</f>
        <v>1</v>
      </c>
      <c r="J26" s="27" t="n">
        <f aca="false">IF(ISNUMBER(I26),D26*I26,"")</f>
        <v>95</v>
      </c>
      <c r="K26" s="24" t="n">
        <f aca="false">IF(G26="NOT FOUND","",INDEX(Components!$J$2:$J$500,MATCH(F26,Components!$I$2:$I$500,0)))</f>
        <v>1.31</v>
      </c>
      <c r="L26" s="24" t="n">
        <f aca="false">IF(AND(ISNUMBER(J26),ISNUMBER(K26)),J26*K26,"")</f>
        <v>124.45</v>
      </c>
      <c r="M26" s="15" t="str">
        <f aca="false">IF(G26="NOT FOUND","",IF(INDEX(Components!$G$2:$G$500,MATCH(F26,Components!$I$2:$I$500,0))="","UNKNOWN",INDEX(Components!$G$2:$G$500,MATCH(F26,Components!$I$2:$I$500,0))))</f>
        <v>CA</v>
      </c>
      <c r="N26" s="15" t="str">
        <f aca="false">IF(M26="","",IF(M26="UNKNOWN","Unknown",IF(M26=Home_Country,"Domestic","Imported")))</f>
        <v>Domestic</v>
      </c>
      <c r="O26" s="15" t="str">
        <f aca="false">IF(G26="NOT FOUND","",INDEX(Components!$F$2:$F$500,MATCH(F26,Components!$I$2:$I$500,0)))</f>
        <v>SUP-05</v>
      </c>
      <c r="P26" s="28" t="n">
        <f aca="false">SUMIFS(Sales!$G$2:$G$500,Sales!$I$2:$I$500,A26)</f>
        <v>504</v>
      </c>
      <c r="Q26" s="29" t="n">
        <f aca="false">IF(ISNUMBER(L26),L26*P26,"")</f>
        <v>62722.8</v>
      </c>
      <c r="R26" s="15" t="str">
        <f aca="false">IF(G26="NOT FOUND","Unknown component; ","")&amp;IF(I26="NO FACTOR","No unit conversion; ","")&amp;IF(AND(G26&lt;&gt;"NOT FOUND",K26=""),"Missing cost; ","")&amp;IF(M26="UNKNOWN","Missing origin; ","")</f>
        <v/>
      </c>
      <c r="S26" s="15" t="str">
        <f aca="false">IF(R26="","OK","CHECK")</f>
        <v>OK</v>
      </c>
    </row>
    <row r="27" customFormat="false" ht="15" hidden="false" customHeight="false" outlineLevel="0" collapsed="false">
      <c r="A27" s="12" t="s">
        <v>110</v>
      </c>
      <c r="B27" s="12" t="n">
        <v>80</v>
      </c>
      <c r="C27" s="12" t="s">
        <v>213</v>
      </c>
      <c r="D27" s="25" t="n">
        <v>1</v>
      </c>
      <c r="E27" s="12" t="s">
        <v>106</v>
      </c>
      <c r="F27" s="15" t="str">
        <f aca="false">UPPER(TRIM(C27))</f>
        <v>GSK-1200</v>
      </c>
      <c r="G27" s="15" t="str">
        <f aca="false">IFERROR(INDEX(Components!$B$2:$B$500,MATCH(F27,Components!$I$2:$I$500,0)),"NOT FOUND")</f>
        <v>Rubber pipe gasket 1200 mm</v>
      </c>
      <c r="H27" s="15" t="str">
        <f aca="false">IF(G27="NOT FOUND","",INDEX(Components!$C$2:$C$500,MATCH(F27,Components!$I$2:$I$500,0)))</f>
        <v>EA</v>
      </c>
      <c r="I27" s="26" t="n">
        <f aca="false">IF(G27="NOT FOUND","",IF(E27=H27,1,IFERROR(INDEX(Unit_Factor,MATCH(E27&amp;"&gt;"&amp;H27,Unit_Key,0)),"NO FACTOR")))</f>
        <v>1</v>
      </c>
      <c r="J27" s="27" t="n">
        <f aca="false">IF(ISNUMBER(I27),D27*I27,"")</f>
        <v>1</v>
      </c>
      <c r="K27" s="24" t="n">
        <f aca="false">IF(G27="NOT FOUND","",INDEX(Components!$J$2:$J$500,MATCH(F27,Components!$I$2:$I$500,0)))</f>
        <v>46.58</v>
      </c>
      <c r="L27" s="24" t="n">
        <f aca="false">IF(AND(ISNUMBER(J27),ISNUMBER(K27)),J27*K27,"")</f>
        <v>46.58</v>
      </c>
      <c r="M27" s="15" t="str">
        <f aca="false">IF(G27="NOT FOUND","",IF(INDEX(Components!$G$2:$G$500,MATCH(F27,Components!$I$2:$I$500,0))="","UNKNOWN",INDEX(Components!$G$2:$G$500,MATCH(F27,Components!$I$2:$I$500,0))))</f>
        <v>UNKNOWN</v>
      </c>
      <c r="N27" s="15" t="str">
        <f aca="false">IF(M27="","",IF(M27="UNKNOWN","Unknown",IF(M27=Home_Country,"Domestic","Imported")))</f>
        <v>Unknown</v>
      </c>
      <c r="O27" s="15" t="str">
        <f aca="false">IF(G27="NOT FOUND","",INDEX(Components!$F$2:$F$500,MATCH(F27,Components!$I$2:$I$500,0)))</f>
        <v>SUP-09</v>
      </c>
      <c r="P27" s="28" t="n">
        <f aca="false">SUMIFS(Sales!$G$2:$G$500,Sales!$I$2:$I$500,A27)</f>
        <v>504</v>
      </c>
      <c r="Q27" s="29" t="n">
        <f aca="false">IF(ISNUMBER(L27),L27*P27,"")</f>
        <v>23476.32</v>
      </c>
      <c r="R27" s="15" t="str">
        <f aca="false">IF(G27="NOT FOUND","Unknown component; ","")&amp;IF(I27="NO FACTOR","No unit conversion; ","")&amp;IF(AND(G27&lt;&gt;"NOT FOUND",K27=""),"Missing cost; ","")&amp;IF(M27="UNKNOWN","Missing origin; ","")</f>
        <v>Missing origin; </v>
      </c>
      <c r="S27" s="15" t="str">
        <f aca="false">IF(R27="","OK","CHECK")</f>
        <v>CHECK</v>
      </c>
    </row>
    <row r="28" customFormat="false" ht="15" hidden="false" customHeight="false" outlineLevel="0" collapsed="false">
      <c r="A28" s="12" t="s">
        <v>110</v>
      </c>
      <c r="B28" s="12" t="n">
        <v>90</v>
      </c>
      <c r="C28" s="12" t="s">
        <v>215</v>
      </c>
      <c r="D28" s="25" t="n">
        <v>2</v>
      </c>
      <c r="E28" s="12" t="s">
        <v>106</v>
      </c>
      <c r="F28" s="15" t="str">
        <f aca="false">UPPER(TRIM(C28))</f>
        <v>LFT-ANC</v>
      </c>
      <c r="G28" s="15" t="str">
        <f aca="false">IFERROR(INDEX(Components!$B$2:$B$500,MATCH(F28,Components!$I$2:$I$500,0)),"NOT FOUND")</f>
        <v>Lifting anchor 2.5 t</v>
      </c>
      <c r="H28" s="15" t="str">
        <f aca="false">IF(G28="NOT FOUND","",INDEX(Components!$C$2:$C$500,MATCH(F28,Components!$I$2:$I$500,0)))</f>
        <v>EA</v>
      </c>
      <c r="I28" s="26" t="n">
        <f aca="false">IF(G28="NOT FOUND","",IF(E28=H28,1,IFERROR(INDEX(Unit_Factor,MATCH(E28&amp;"&gt;"&amp;H28,Unit_Key,0)),"NO FACTOR")))</f>
        <v>1</v>
      </c>
      <c r="J28" s="27" t="n">
        <f aca="false">IF(ISNUMBER(I28),D28*I28,"")</f>
        <v>2</v>
      </c>
      <c r="K28" s="24" t="n">
        <f aca="false">IF(G28="NOT FOUND","",INDEX(Components!$J$2:$J$500,MATCH(F28,Components!$I$2:$I$500,0)))</f>
        <v>6.9</v>
      </c>
      <c r="L28" s="24" t="n">
        <f aca="false">IF(AND(ISNUMBER(J28),ISNUMBER(K28)),J28*K28,"")</f>
        <v>13.8</v>
      </c>
      <c r="M28" s="15" t="str">
        <f aca="false">IF(G28="NOT FOUND","",IF(INDEX(Components!$G$2:$G$500,MATCH(F28,Components!$I$2:$I$500,0))="","UNKNOWN",INDEX(Components!$G$2:$G$500,MATCH(F28,Components!$I$2:$I$500,0))))</f>
        <v>DE</v>
      </c>
      <c r="N28" s="15" t="str">
        <f aca="false">IF(M28="","",IF(M28="UNKNOWN","Unknown",IF(M28=Home_Country,"Domestic","Imported")))</f>
        <v>Imported</v>
      </c>
      <c r="O28" s="15" t="str">
        <f aca="false">IF(G28="NOT FOUND","",INDEX(Components!$F$2:$F$500,MATCH(F28,Components!$I$2:$I$500,0)))</f>
        <v>SUP-10</v>
      </c>
      <c r="P28" s="28" t="n">
        <f aca="false">SUMIFS(Sales!$G$2:$G$500,Sales!$I$2:$I$500,A28)</f>
        <v>504</v>
      </c>
      <c r="Q28" s="29" t="n">
        <f aca="false">IF(ISNUMBER(L28),L28*P28,"")</f>
        <v>6955.2</v>
      </c>
      <c r="R28" s="15" t="str">
        <f aca="false">IF(G28="NOT FOUND","Unknown component; ","")&amp;IF(I28="NO FACTOR","No unit conversion; ","")&amp;IF(AND(G28&lt;&gt;"NOT FOUND",K28=""),"Missing cost; ","")&amp;IF(M28="UNKNOWN","Missing origin; ","")</f>
        <v/>
      </c>
      <c r="S28" s="15" t="str">
        <f aca="false">IF(R28="","OK","CHECK")</f>
        <v>OK</v>
      </c>
    </row>
    <row r="29" customFormat="false" ht="15" hidden="false" customHeight="false" outlineLevel="0" collapsed="false">
      <c r="A29" s="12" t="s">
        <v>110</v>
      </c>
      <c r="B29" s="12" t="n">
        <v>100</v>
      </c>
      <c r="C29" s="12" t="s">
        <v>227</v>
      </c>
      <c r="D29" s="25" t="n">
        <v>0.5</v>
      </c>
      <c r="E29" s="12" t="s">
        <v>190</v>
      </c>
      <c r="F29" s="15" t="str">
        <f aca="false">UPPER(TRIM(C29))</f>
        <v>FRM-OIL</v>
      </c>
      <c r="G29" s="15" t="str">
        <f aca="false">IFERROR(INDEX(Components!$B$2:$B$500,MATCH(F29,Components!$I$2:$I$500,0)),"NOT FOUND")</f>
        <v>Form release agent</v>
      </c>
      <c r="H29" s="15" t="str">
        <f aca="false">IF(G29="NOT FOUND","",INDEX(Components!$C$2:$C$500,MATCH(F29,Components!$I$2:$I$500,0)))</f>
        <v>L</v>
      </c>
      <c r="I29" s="26" t="n">
        <f aca="false">IF(G29="NOT FOUND","",IF(E29=H29,1,IFERROR(INDEX(Unit_Factor,MATCH(E29&amp;"&gt;"&amp;H29,Unit_Key,0)),"NO FACTOR")))</f>
        <v>1</v>
      </c>
      <c r="J29" s="27" t="n">
        <f aca="false">IF(ISNUMBER(I29),D29*I29,"")</f>
        <v>0.5</v>
      </c>
      <c r="K29" s="24" t="n">
        <f aca="false">IF(G29="NOT FOUND","",INDEX(Components!$J$2:$J$500,MATCH(F29,Components!$I$2:$I$500,0)))</f>
        <v>1.15</v>
      </c>
      <c r="L29" s="24" t="n">
        <f aca="false">IF(AND(ISNUMBER(J29),ISNUMBER(K29)),J29*K29,"")</f>
        <v>0.575</v>
      </c>
      <c r="M29" s="15" t="str">
        <f aca="false">IF(G29="NOT FOUND","",IF(INDEX(Components!$G$2:$G$500,MATCH(F29,Components!$I$2:$I$500,0))="","UNKNOWN",INDEX(Components!$G$2:$G$500,MATCH(F29,Components!$I$2:$I$500,0))))</f>
        <v>CA</v>
      </c>
      <c r="N29" s="15" t="str">
        <f aca="false">IF(M29="","",IF(M29="UNKNOWN","Unknown",IF(M29=Home_Country,"Domestic","Imported")))</f>
        <v>Domestic</v>
      </c>
      <c r="O29" s="15" t="str">
        <f aca="false">IF(G29="NOT FOUND","",INDEX(Components!$F$2:$F$500,MATCH(F29,Components!$I$2:$I$500,0)))</f>
        <v>SUP-12</v>
      </c>
      <c r="P29" s="28" t="n">
        <f aca="false">SUMIFS(Sales!$G$2:$G$500,Sales!$I$2:$I$500,A29)</f>
        <v>504</v>
      </c>
      <c r="Q29" s="29" t="n">
        <f aca="false">IF(ISNUMBER(L29),L29*P29,"")</f>
        <v>289.8</v>
      </c>
      <c r="R29" s="15" t="str">
        <f aca="false">IF(G29="NOT FOUND","Unknown component; ","")&amp;IF(I29="NO FACTOR","No unit conversion; ","")&amp;IF(AND(G29&lt;&gt;"NOT FOUND",K29=""),"Missing cost; ","")&amp;IF(M29="UNKNOWN","Missing origin; ","")</f>
        <v/>
      </c>
      <c r="S29" s="15" t="str">
        <f aca="false">IF(R29="","OK","CHECK")</f>
        <v>OK</v>
      </c>
    </row>
    <row r="30" customFormat="false" ht="15" hidden="false" customHeight="false" outlineLevel="0" collapsed="false">
      <c r="A30" s="12" t="s">
        <v>112</v>
      </c>
      <c r="B30" s="12" t="n">
        <v>10</v>
      </c>
      <c r="C30" s="12" t="s">
        <v>176</v>
      </c>
      <c r="D30" s="25" t="n">
        <v>0.91</v>
      </c>
      <c r="E30" s="12" t="s">
        <v>66</v>
      </c>
      <c r="F30" s="15" t="str">
        <f aca="false">UPPER(TRIM(C30))</f>
        <v>CMT-GU</v>
      </c>
      <c r="G30" s="15" t="str">
        <f aca="false">IFERROR(INDEX(Components!$B$2:$B$500,MATCH(F30,Components!$I$2:$I$500,0)),"NOT FOUND")</f>
        <v>Portland cement Type GU</v>
      </c>
      <c r="H30" s="15" t="str">
        <f aca="false">IF(G30="NOT FOUND","",INDEX(Components!$C$2:$C$500,MATCH(F30,Components!$I$2:$I$500,0)))</f>
        <v>T</v>
      </c>
      <c r="I30" s="26" t="n">
        <f aca="false">IF(G30="NOT FOUND","",IF(E30=H30,1,IFERROR(INDEX(Unit_Factor,MATCH(E30&amp;"&gt;"&amp;H30,Unit_Key,0)),"NO FACTOR")))</f>
        <v>1</v>
      </c>
      <c r="J30" s="27" t="n">
        <f aca="false">IF(ISNUMBER(I30),D30*I30,"")</f>
        <v>0.91</v>
      </c>
      <c r="K30" s="24" t="n">
        <f aca="false">IF(G30="NOT FOUND","",INDEX(Components!$J$2:$J$500,MATCH(F30,Components!$I$2:$I$500,0)))</f>
        <v>235</v>
      </c>
      <c r="L30" s="24" t="n">
        <f aca="false">IF(AND(ISNUMBER(J30),ISNUMBER(K30)),J30*K30,"")</f>
        <v>213.85</v>
      </c>
      <c r="M30" s="15" t="str">
        <f aca="false">IF(G30="NOT FOUND","",IF(INDEX(Components!$G$2:$G$500,MATCH(F30,Components!$I$2:$I$500,0))="","UNKNOWN",INDEX(Components!$G$2:$G$500,MATCH(F30,Components!$I$2:$I$500,0))))</f>
        <v>CA</v>
      </c>
      <c r="N30" s="15" t="str">
        <f aca="false">IF(M30="","",IF(M30="UNKNOWN","Unknown",IF(M30=Home_Country,"Domestic","Imported")))</f>
        <v>Domestic</v>
      </c>
      <c r="O30" s="15" t="str">
        <f aca="false">IF(G30="NOT FOUND","",INDEX(Components!$F$2:$F$500,MATCH(F30,Components!$I$2:$I$500,0)))</f>
        <v>SUP-01</v>
      </c>
      <c r="P30" s="28" t="n">
        <f aca="false">SUMIFS(Sales!$G$2:$G$500,Sales!$I$2:$I$500,A30)</f>
        <v>127</v>
      </c>
      <c r="Q30" s="29" t="n">
        <f aca="false">IF(ISNUMBER(L30),L30*P30,"")</f>
        <v>27158.95</v>
      </c>
      <c r="R30" s="15" t="str">
        <f aca="false">IF(G30="NOT FOUND","Unknown component; ","")&amp;IF(I30="NO FACTOR","No unit conversion; ","")&amp;IF(AND(G30&lt;&gt;"NOT FOUND",K30=""),"Missing cost; ","")&amp;IF(M30="UNKNOWN","Missing origin; ","")</f>
        <v/>
      </c>
      <c r="S30" s="15" t="str">
        <f aca="false">IF(R30="","OK","CHECK")</f>
        <v>OK</v>
      </c>
    </row>
    <row r="31" customFormat="false" ht="15" hidden="false" customHeight="false" outlineLevel="0" collapsed="false">
      <c r="A31" s="12" t="s">
        <v>112</v>
      </c>
      <c r="B31" s="12" t="n">
        <v>20</v>
      </c>
      <c r="C31" s="12" t="s">
        <v>179</v>
      </c>
      <c r="D31" s="25" t="n">
        <v>0.182</v>
      </c>
      <c r="E31" s="12" t="s">
        <v>66</v>
      </c>
      <c r="F31" s="15" t="str">
        <f aca="false">UPPER(TRIM(C31))</f>
        <v>SCM-FA</v>
      </c>
      <c r="G31" s="15" t="str">
        <f aca="false">IFERROR(INDEX(Components!$B$2:$B$500,MATCH(F31,Components!$I$2:$I$500,0)),"NOT FOUND")</f>
        <v>Fly ash Class F</v>
      </c>
      <c r="H31" s="15" t="str">
        <f aca="false">IF(G31="NOT FOUND","",INDEX(Components!$C$2:$C$500,MATCH(F31,Components!$I$2:$I$500,0)))</f>
        <v>T</v>
      </c>
      <c r="I31" s="26" t="n">
        <f aca="false">IF(G31="NOT FOUND","",IF(E31=H31,1,IFERROR(INDEX(Unit_Factor,MATCH(E31&amp;"&gt;"&amp;H31,Unit_Key,0)),"NO FACTOR")))</f>
        <v>1</v>
      </c>
      <c r="J31" s="27" t="n">
        <f aca="false">IF(ISNUMBER(I31),D31*I31,"")</f>
        <v>0.182</v>
      </c>
      <c r="K31" s="24" t="n">
        <f aca="false">IF(G31="NOT FOUND","",INDEX(Components!$J$2:$J$500,MATCH(F31,Components!$I$2:$I$500,0)))</f>
        <v>98.64</v>
      </c>
      <c r="L31" s="24" t="n">
        <f aca="false">IF(AND(ISNUMBER(J31),ISNUMBER(K31)),J31*K31,"")</f>
        <v>17.95248</v>
      </c>
      <c r="M31" s="15" t="str">
        <f aca="false">IF(G31="NOT FOUND","",IF(INDEX(Components!$G$2:$G$500,MATCH(F31,Components!$I$2:$I$500,0))="","UNKNOWN",INDEX(Components!$G$2:$G$500,MATCH(F31,Components!$I$2:$I$500,0))))</f>
        <v>US</v>
      </c>
      <c r="N31" s="15" t="str">
        <f aca="false">IF(M31="","",IF(M31="UNKNOWN","Unknown",IF(M31=Home_Country,"Domestic","Imported")))</f>
        <v>Imported</v>
      </c>
      <c r="O31" s="15" t="str">
        <f aca="false">IF(G31="NOT FOUND","",INDEX(Components!$F$2:$F$500,MATCH(F31,Components!$I$2:$I$500,0)))</f>
        <v>SUP-02</v>
      </c>
      <c r="P31" s="28" t="n">
        <f aca="false">SUMIFS(Sales!$G$2:$G$500,Sales!$I$2:$I$500,A31)</f>
        <v>127</v>
      </c>
      <c r="Q31" s="29" t="n">
        <f aca="false">IF(ISNUMBER(L31),L31*P31,"")</f>
        <v>2279.96496</v>
      </c>
      <c r="R31" s="15" t="str">
        <f aca="false">IF(G31="NOT FOUND","Unknown component; ","")&amp;IF(I31="NO FACTOR","No unit conversion; ","")&amp;IF(AND(G31&lt;&gt;"NOT FOUND",K31=""),"Missing cost; ","")&amp;IF(M31="UNKNOWN","Missing origin; ","")</f>
        <v/>
      </c>
      <c r="S31" s="15" t="str">
        <f aca="false">IF(R31="","OK","CHECK")</f>
        <v>OK</v>
      </c>
    </row>
    <row r="32" customFormat="false" ht="15" hidden="false" customHeight="false" outlineLevel="0" collapsed="false">
      <c r="A32" s="12" t="s">
        <v>112</v>
      </c>
      <c r="B32" s="12" t="n">
        <v>30</v>
      </c>
      <c r="C32" s="12" t="s">
        <v>182</v>
      </c>
      <c r="D32" s="25" t="n">
        <v>2.73</v>
      </c>
      <c r="E32" s="12" t="s">
        <v>66</v>
      </c>
      <c r="F32" s="15" t="str">
        <f aca="false">UPPER(TRIM(C32))</f>
        <v>AGG-20</v>
      </c>
      <c r="G32" s="15" t="str">
        <f aca="false">IFERROR(INDEX(Components!$B$2:$B$500,MATCH(F32,Components!$I$2:$I$500,0)),"NOT FOUND")</f>
        <v>Coarse aggregate 20 mm</v>
      </c>
      <c r="H32" s="15" t="str">
        <f aca="false">IF(G32="NOT FOUND","",INDEX(Components!$C$2:$C$500,MATCH(F32,Components!$I$2:$I$500,0)))</f>
        <v>T</v>
      </c>
      <c r="I32" s="26" t="n">
        <f aca="false">IF(G32="NOT FOUND","",IF(E32=H32,1,IFERROR(INDEX(Unit_Factor,MATCH(E32&amp;"&gt;"&amp;H32,Unit_Key,0)),"NO FACTOR")))</f>
        <v>1</v>
      </c>
      <c r="J32" s="27" t="n">
        <f aca="false">IF(ISNUMBER(I32),D32*I32,"")</f>
        <v>2.73</v>
      </c>
      <c r="K32" s="24" t="n">
        <f aca="false">IF(G32="NOT FOUND","",INDEX(Components!$J$2:$J$500,MATCH(F32,Components!$I$2:$I$500,0)))</f>
        <v>28</v>
      </c>
      <c r="L32" s="24" t="n">
        <f aca="false">IF(AND(ISNUMBER(J32),ISNUMBER(K32)),J32*K32,"")</f>
        <v>76.44</v>
      </c>
      <c r="M32" s="15" t="str">
        <f aca="false">IF(G32="NOT FOUND","",IF(INDEX(Components!$G$2:$G$500,MATCH(F32,Components!$I$2:$I$500,0))="","UNKNOWN",INDEX(Components!$G$2:$G$500,MATCH(F32,Components!$I$2:$I$500,0))))</f>
        <v>CA</v>
      </c>
      <c r="N32" s="15" t="str">
        <f aca="false">IF(M32="","",IF(M32="UNKNOWN","Unknown",IF(M32=Home_Country,"Domestic","Imported")))</f>
        <v>Domestic</v>
      </c>
      <c r="O32" s="15" t="str">
        <f aca="false">IF(G32="NOT FOUND","",INDEX(Components!$F$2:$F$500,MATCH(F32,Components!$I$2:$I$500,0)))</f>
        <v>SUP-03</v>
      </c>
      <c r="P32" s="28" t="n">
        <f aca="false">SUMIFS(Sales!$G$2:$G$500,Sales!$I$2:$I$500,A32)</f>
        <v>127</v>
      </c>
      <c r="Q32" s="29" t="n">
        <f aca="false">IF(ISNUMBER(L32),L32*P32,"")</f>
        <v>9707.88</v>
      </c>
      <c r="R32" s="15" t="str">
        <f aca="false">IF(G32="NOT FOUND","Unknown component; ","")&amp;IF(I32="NO FACTOR","No unit conversion; ","")&amp;IF(AND(G32&lt;&gt;"NOT FOUND",K32=""),"Missing cost; ","")&amp;IF(M32="UNKNOWN","Missing origin; ","")</f>
        <v/>
      </c>
      <c r="S32" s="15" t="str">
        <f aca="false">IF(R32="","OK","CHECK")</f>
        <v>OK</v>
      </c>
    </row>
    <row r="33" customFormat="false" ht="15" hidden="false" customHeight="false" outlineLevel="0" collapsed="false">
      <c r="A33" s="12" t="s">
        <v>112</v>
      </c>
      <c r="B33" s="12" t="n">
        <v>40</v>
      </c>
      <c r="C33" s="12" t="s">
        <v>185</v>
      </c>
      <c r="D33" s="25" t="n">
        <v>1.95</v>
      </c>
      <c r="E33" s="12" t="s">
        <v>66</v>
      </c>
      <c r="F33" s="15" t="str">
        <f aca="false">UPPER(TRIM(C33))</f>
        <v>AGG-SND</v>
      </c>
      <c r="G33" s="15" t="str">
        <f aca="false">IFERROR(INDEX(Components!$B$2:$B$500,MATCH(F33,Components!$I$2:$I$500,0)),"NOT FOUND")</f>
        <v>Concrete sand</v>
      </c>
      <c r="H33" s="15" t="str">
        <f aca="false">IF(G33="NOT FOUND","",INDEX(Components!$C$2:$C$500,MATCH(F33,Components!$I$2:$I$500,0)))</f>
        <v>T</v>
      </c>
      <c r="I33" s="26" t="n">
        <f aca="false">IF(G33="NOT FOUND","",IF(E33=H33,1,IFERROR(INDEX(Unit_Factor,MATCH(E33&amp;"&gt;"&amp;H33,Unit_Key,0)),"NO FACTOR")))</f>
        <v>1</v>
      </c>
      <c r="J33" s="27" t="n">
        <f aca="false">IF(ISNUMBER(I33),D33*I33,"")</f>
        <v>1.95</v>
      </c>
      <c r="K33" s="24" t="n">
        <f aca="false">IF(G33="NOT FOUND","",INDEX(Components!$J$2:$J$500,MATCH(F33,Components!$I$2:$I$500,0)))</f>
        <v>24</v>
      </c>
      <c r="L33" s="24" t="n">
        <f aca="false">IF(AND(ISNUMBER(J33),ISNUMBER(K33)),J33*K33,"")</f>
        <v>46.8</v>
      </c>
      <c r="M33" s="15" t="str">
        <f aca="false">IF(G33="NOT FOUND","",IF(INDEX(Components!$G$2:$G$500,MATCH(F33,Components!$I$2:$I$500,0))="","UNKNOWN",INDEX(Components!$G$2:$G$500,MATCH(F33,Components!$I$2:$I$500,0))))</f>
        <v>CA</v>
      </c>
      <c r="N33" s="15" t="str">
        <f aca="false">IF(M33="","",IF(M33="UNKNOWN","Unknown",IF(M33=Home_Country,"Domestic","Imported")))</f>
        <v>Domestic</v>
      </c>
      <c r="O33" s="15" t="str">
        <f aca="false">IF(G33="NOT FOUND","",INDEX(Components!$F$2:$F$500,MATCH(F33,Components!$I$2:$I$500,0)))</f>
        <v>SUP-03</v>
      </c>
      <c r="P33" s="28" t="n">
        <f aca="false">SUMIFS(Sales!$G$2:$G$500,Sales!$I$2:$I$500,A33)</f>
        <v>127</v>
      </c>
      <c r="Q33" s="29" t="n">
        <f aca="false">IF(ISNUMBER(L33),L33*P33,"")</f>
        <v>5943.6</v>
      </c>
      <c r="R33" s="15" t="str">
        <f aca="false">IF(G33="NOT FOUND","Unknown component; ","")&amp;IF(I33="NO FACTOR","No unit conversion; ","")&amp;IF(AND(G33&lt;&gt;"NOT FOUND",K33=""),"Missing cost; ","")&amp;IF(M33="UNKNOWN","Missing origin; ","")</f>
        <v/>
      </c>
      <c r="S33" s="15" t="str">
        <f aca="false">IF(R33="","OK","CHECK")</f>
        <v>OK</v>
      </c>
    </row>
    <row r="34" customFormat="false" ht="15" hidden="false" customHeight="false" outlineLevel="0" collapsed="false">
      <c r="A34" s="12" t="s">
        <v>112</v>
      </c>
      <c r="B34" s="12" t="n">
        <v>50</v>
      </c>
      <c r="C34" s="12" t="s">
        <v>188</v>
      </c>
      <c r="D34" s="25" t="n">
        <v>5.2</v>
      </c>
      <c r="E34" s="12" t="s">
        <v>190</v>
      </c>
      <c r="F34" s="15" t="str">
        <f aca="false">UPPER(TRIM(C34))</f>
        <v>ADM-SP</v>
      </c>
      <c r="G34" s="15" t="str">
        <f aca="false">IFERROR(INDEX(Components!$B$2:$B$500,MATCH(F34,Components!$I$2:$I$500,0)),"NOT FOUND")</f>
        <v>Superplasticizer admixture</v>
      </c>
      <c r="H34" s="15" t="str">
        <f aca="false">IF(G34="NOT FOUND","",INDEX(Components!$C$2:$C$500,MATCH(F34,Components!$I$2:$I$500,0)))</f>
        <v>L</v>
      </c>
      <c r="I34" s="26" t="n">
        <f aca="false">IF(G34="NOT FOUND","",IF(E34=H34,1,IFERROR(INDEX(Unit_Factor,MATCH(E34&amp;"&gt;"&amp;H34,Unit_Key,0)),"NO FACTOR")))</f>
        <v>1</v>
      </c>
      <c r="J34" s="27" t="n">
        <f aca="false">IF(ISNUMBER(I34),D34*I34,"")</f>
        <v>5.2</v>
      </c>
      <c r="K34" s="24" t="n">
        <f aca="false">IF(G34="NOT FOUND","",INDEX(Components!$J$2:$J$500,MATCH(F34,Components!$I$2:$I$500,0)))</f>
        <v>4.247</v>
      </c>
      <c r="L34" s="24" t="n">
        <f aca="false">IF(AND(ISNUMBER(J34),ISNUMBER(K34)),J34*K34,"")</f>
        <v>22.0844</v>
      </c>
      <c r="M34" s="15" t="str">
        <f aca="false">IF(G34="NOT FOUND","",IF(INDEX(Components!$G$2:$G$500,MATCH(F34,Components!$I$2:$I$500,0))="","UNKNOWN",INDEX(Components!$G$2:$G$500,MATCH(F34,Components!$I$2:$I$500,0))))</f>
        <v>US</v>
      </c>
      <c r="N34" s="15" t="str">
        <f aca="false">IF(M34="","",IF(M34="UNKNOWN","Unknown",IF(M34=Home_Country,"Domestic","Imported")))</f>
        <v>Imported</v>
      </c>
      <c r="O34" s="15" t="str">
        <f aca="false">IF(G34="NOT FOUND","",INDEX(Components!$F$2:$F$500,MATCH(F34,Components!$I$2:$I$500,0)))</f>
        <v>SUP-04</v>
      </c>
      <c r="P34" s="28" t="n">
        <f aca="false">SUMIFS(Sales!$G$2:$G$500,Sales!$I$2:$I$500,A34)</f>
        <v>127</v>
      </c>
      <c r="Q34" s="29" t="n">
        <f aca="false">IF(ISNUMBER(L34),L34*P34,"")</f>
        <v>2804.7188</v>
      </c>
      <c r="R34" s="15" t="str">
        <f aca="false">IF(G34="NOT FOUND","Unknown component; ","")&amp;IF(I34="NO FACTOR","No unit conversion; ","")&amp;IF(AND(G34&lt;&gt;"NOT FOUND",K34=""),"Missing cost; ","")&amp;IF(M34="UNKNOWN","Missing origin; ","")</f>
        <v/>
      </c>
      <c r="S34" s="15" t="str">
        <f aca="false">IF(R34="","OK","CHECK")</f>
        <v>OK</v>
      </c>
    </row>
    <row r="35" customFormat="false" ht="15" hidden="false" customHeight="false" outlineLevel="0" collapsed="false">
      <c r="A35" s="12" t="s">
        <v>112</v>
      </c>
      <c r="B35" s="12" t="n">
        <v>60</v>
      </c>
      <c r="C35" s="12" t="s">
        <v>192</v>
      </c>
      <c r="D35" s="25" t="n">
        <v>1.04</v>
      </c>
      <c r="E35" s="12" t="s">
        <v>190</v>
      </c>
      <c r="F35" s="15" t="str">
        <f aca="false">UPPER(TRIM(C35))</f>
        <v>ADM-AE</v>
      </c>
      <c r="G35" s="15" t="str">
        <f aca="false">IFERROR(INDEX(Components!$B$2:$B$500,MATCH(F35,Components!$I$2:$I$500,0)),"NOT FOUND")</f>
        <v>Air-entraining admixture</v>
      </c>
      <c r="H35" s="15" t="str">
        <f aca="false">IF(G35="NOT FOUND","",INDEX(Components!$C$2:$C$500,MATCH(F35,Components!$I$2:$I$500,0)))</f>
        <v>L</v>
      </c>
      <c r="I35" s="26" t="n">
        <f aca="false">IF(G35="NOT FOUND","",IF(E35=H35,1,IFERROR(INDEX(Unit_Factor,MATCH(E35&amp;"&gt;"&amp;H35,Unit_Key,0)),"NO FACTOR")))</f>
        <v>1</v>
      </c>
      <c r="J35" s="27" t="n">
        <f aca="false">IF(ISNUMBER(I35),D35*I35,"")</f>
        <v>1.04</v>
      </c>
      <c r="K35" s="24" t="n">
        <f aca="false">IF(G35="NOT FOUND","",INDEX(Components!$J$2:$J$500,MATCH(F35,Components!$I$2:$I$500,0)))</f>
        <v>3.288</v>
      </c>
      <c r="L35" s="24" t="n">
        <f aca="false">IF(AND(ISNUMBER(J35),ISNUMBER(K35)),J35*K35,"")</f>
        <v>3.41952</v>
      </c>
      <c r="M35" s="15" t="str">
        <f aca="false">IF(G35="NOT FOUND","",IF(INDEX(Components!$G$2:$G$500,MATCH(F35,Components!$I$2:$I$500,0))="","UNKNOWN",INDEX(Components!$G$2:$G$500,MATCH(F35,Components!$I$2:$I$500,0))))</f>
        <v>US</v>
      </c>
      <c r="N35" s="15" t="str">
        <f aca="false">IF(M35="","",IF(M35="UNKNOWN","Unknown",IF(M35=Home_Country,"Domestic","Imported")))</f>
        <v>Imported</v>
      </c>
      <c r="O35" s="15" t="str">
        <f aca="false">IF(G35="NOT FOUND","",INDEX(Components!$F$2:$F$500,MATCH(F35,Components!$I$2:$I$500,0)))</f>
        <v>SUP-04</v>
      </c>
      <c r="P35" s="28" t="n">
        <f aca="false">SUMIFS(Sales!$G$2:$G$500,Sales!$I$2:$I$500,A35)</f>
        <v>127</v>
      </c>
      <c r="Q35" s="29" t="n">
        <f aca="false">IF(ISNUMBER(L35),L35*P35,"")</f>
        <v>434.27904</v>
      </c>
      <c r="R35" s="15" t="str">
        <f aca="false">IF(G35="NOT FOUND","Unknown component; ","")&amp;IF(I35="NO FACTOR","No unit conversion; ","")&amp;IF(AND(G35&lt;&gt;"NOT FOUND",K35=""),"Missing cost; ","")&amp;IF(M35="UNKNOWN","Missing origin; ","")</f>
        <v/>
      </c>
      <c r="S35" s="15" t="str">
        <f aca="false">IF(R35="","OK","CHECK")</f>
        <v>OK</v>
      </c>
    </row>
    <row r="36" customFormat="false" ht="15" hidden="false" customHeight="false" outlineLevel="0" collapsed="false">
      <c r="A36" s="12" t="s">
        <v>112</v>
      </c>
      <c r="B36" s="12" t="n">
        <v>70</v>
      </c>
      <c r="C36" s="12" t="s">
        <v>200</v>
      </c>
      <c r="D36" s="25" t="n">
        <v>260</v>
      </c>
      <c r="E36" s="12" t="s">
        <v>62</v>
      </c>
      <c r="F36" s="15" t="str">
        <f aca="false">UPPER(TRIM(C36))</f>
        <v>RB-20M</v>
      </c>
      <c r="G36" s="15" t="str">
        <f aca="false">IFERROR(INDEX(Components!$B$2:$B$500,MATCH(F36,Components!$I$2:$I$500,0)),"NOT FOUND")</f>
        <v>Rebar 20M</v>
      </c>
      <c r="H36" s="15" t="str">
        <f aca="false">IF(G36="NOT FOUND","",INDEX(Components!$C$2:$C$500,MATCH(F36,Components!$I$2:$I$500,0)))</f>
        <v>KG</v>
      </c>
      <c r="I36" s="26" t="n">
        <f aca="false">IF(G36="NOT FOUND","",IF(E36=H36,1,IFERROR(INDEX(Unit_Factor,MATCH(E36&amp;"&gt;"&amp;H36,Unit_Key,0)),"NO FACTOR")))</f>
        <v>1</v>
      </c>
      <c r="J36" s="27" t="n">
        <f aca="false">IF(ISNUMBER(I36),D36*I36,"")</f>
        <v>260</v>
      </c>
      <c r="K36" s="24" t="n">
        <f aca="false">IF(G36="NOT FOUND","",INDEX(Components!$J$2:$J$500,MATCH(F36,Components!$I$2:$I$500,0)))</f>
        <v>1.2741</v>
      </c>
      <c r="L36" s="24" t="n">
        <f aca="false">IF(AND(ISNUMBER(J36),ISNUMBER(K36)),J36*K36,"")</f>
        <v>331.266</v>
      </c>
      <c r="M36" s="15" t="str">
        <f aca="false">IF(G36="NOT FOUND","",IF(INDEX(Components!$G$2:$G$500,MATCH(F36,Components!$I$2:$I$500,0))="","UNKNOWN",INDEX(Components!$G$2:$G$500,MATCH(F36,Components!$I$2:$I$500,0))))</f>
        <v>TR</v>
      </c>
      <c r="N36" s="15" t="str">
        <f aca="false">IF(M36="","",IF(M36="UNKNOWN","Unknown",IF(M36=Home_Country,"Domestic","Imported")))</f>
        <v>Imported</v>
      </c>
      <c r="O36" s="15" t="str">
        <f aca="false">IF(G36="NOT FOUND","",INDEX(Components!$F$2:$F$500,MATCH(F36,Components!$I$2:$I$500,0)))</f>
        <v>SUP-06</v>
      </c>
      <c r="P36" s="28" t="n">
        <f aca="false">SUMIFS(Sales!$G$2:$G$500,Sales!$I$2:$I$500,A36)</f>
        <v>127</v>
      </c>
      <c r="Q36" s="29" t="n">
        <f aca="false">IF(ISNUMBER(L36),L36*P36,"")</f>
        <v>42070.782</v>
      </c>
      <c r="R36" s="15" t="str">
        <f aca="false">IF(G36="NOT FOUND","Unknown component; ","")&amp;IF(I36="NO FACTOR","No unit conversion; ","")&amp;IF(AND(G36&lt;&gt;"NOT FOUND",K36=""),"Missing cost; ","")&amp;IF(M36="UNKNOWN","Missing origin; ","")</f>
        <v/>
      </c>
      <c r="S36" s="15" t="str">
        <f aca="false">IF(R36="","OK","CHECK")</f>
        <v>OK</v>
      </c>
    </row>
    <row r="37" customFormat="false" ht="15" hidden="false" customHeight="false" outlineLevel="0" collapsed="false">
      <c r="A37" s="12" t="s">
        <v>112</v>
      </c>
      <c r="B37" s="12" t="n">
        <v>80</v>
      </c>
      <c r="C37" s="12" t="s">
        <v>198</v>
      </c>
      <c r="D37" s="25" t="n">
        <v>80</v>
      </c>
      <c r="E37" s="12" t="s">
        <v>62</v>
      </c>
      <c r="F37" s="15" t="str">
        <f aca="false">UPPER(TRIM(C37))</f>
        <v>RB-15M</v>
      </c>
      <c r="G37" s="15" t="str">
        <f aca="false">IFERROR(INDEX(Components!$B$2:$B$500,MATCH(F37,Components!$I$2:$I$500,0)),"NOT FOUND")</f>
        <v>Rebar 15M</v>
      </c>
      <c r="H37" s="15" t="str">
        <f aca="false">IF(G37="NOT FOUND","",INDEX(Components!$C$2:$C$500,MATCH(F37,Components!$I$2:$I$500,0)))</f>
        <v>KG</v>
      </c>
      <c r="I37" s="26" t="n">
        <f aca="false">IF(G37="NOT FOUND","",IF(E37=H37,1,IFERROR(INDEX(Unit_Factor,MATCH(E37&amp;"&gt;"&amp;H37,Unit_Key,0)),"NO FACTOR")))</f>
        <v>1</v>
      </c>
      <c r="J37" s="27" t="n">
        <f aca="false">IF(ISNUMBER(I37),D37*I37,"")</f>
        <v>80</v>
      </c>
      <c r="K37" s="24" t="n">
        <f aca="false">IF(G37="NOT FOUND","",INDEX(Components!$J$2:$J$500,MATCH(F37,Components!$I$2:$I$500,0)))</f>
        <v>1.31</v>
      </c>
      <c r="L37" s="24" t="n">
        <f aca="false">IF(AND(ISNUMBER(J37),ISNUMBER(K37)),J37*K37,"")</f>
        <v>104.8</v>
      </c>
      <c r="M37" s="15" t="str">
        <f aca="false">IF(G37="NOT FOUND","",IF(INDEX(Components!$G$2:$G$500,MATCH(F37,Components!$I$2:$I$500,0))="","UNKNOWN",INDEX(Components!$G$2:$G$500,MATCH(F37,Components!$I$2:$I$500,0))))</f>
        <v>CA</v>
      </c>
      <c r="N37" s="15" t="str">
        <f aca="false">IF(M37="","",IF(M37="UNKNOWN","Unknown",IF(M37=Home_Country,"Domestic","Imported")))</f>
        <v>Domestic</v>
      </c>
      <c r="O37" s="15" t="str">
        <f aca="false">IF(G37="NOT FOUND","",INDEX(Components!$F$2:$F$500,MATCH(F37,Components!$I$2:$I$500,0)))</f>
        <v>SUP-05</v>
      </c>
      <c r="P37" s="28" t="n">
        <f aca="false">SUMIFS(Sales!$G$2:$G$500,Sales!$I$2:$I$500,A37)</f>
        <v>127</v>
      </c>
      <c r="Q37" s="29" t="n">
        <f aca="false">IF(ISNUMBER(L37),L37*P37,"")</f>
        <v>13309.6</v>
      </c>
      <c r="R37" s="15" t="str">
        <f aca="false">IF(G37="NOT FOUND","Unknown component; ","")&amp;IF(I37="NO FACTOR","No unit conversion; ","")&amp;IF(AND(G37&lt;&gt;"NOT FOUND",K37=""),"Missing cost; ","")&amp;IF(M37="UNKNOWN","Missing origin; ","")</f>
        <v/>
      </c>
      <c r="S37" s="15" t="str">
        <f aca="false">IF(R37="","OK","CHECK")</f>
        <v>OK</v>
      </c>
    </row>
    <row r="38" customFormat="false" ht="15" hidden="false" customHeight="false" outlineLevel="0" collapsed="false">
      <c r="A38" s="12" t="s">
        <v>112</v>
      </c>
      <c r="B38" s="12" t="n">
        <v>90</v>
      </c>
      <c r="C38" s="12" t="s">
        <v>215</v>
      </c>
      <c r="D38" s="25" t="n">
        <v>4</v>
      </c>
      <c r="E38" s="12" t="s">
        <v>106</v>
      </c>
      <c r="F38" s="15" t="str">
        <f aca="false">UPPER(TRIM(C38))</f>
        <v>LFT-ANC</v>
      </c>
      <c r="G38" s="15" t="str">
        <f aca="false">IFERROR(INDEX(Components!$B$2:$B$500,MATCH(F38,Components!$I$2:$I$500,0)),"NOT FOUND")</f>
        <v>Lifting anchor 2.5 t</v>
      </c>
      <c r="H38" s="15" t="str">
        <f aca="false">IF(G38="NOT FOUND","",INDEX(Components!$C$2:$C$500,MATCH(F38,Components!$I$2:$I$500,0)))</f>
        <v>EA</v>
      </c>
      <c r="I38" s="26" t="n">
        <f aca="false">IF(G38="NOT FOUND","",IF(E38=H38,1,IFERROR(INDEX(Unit_Factor,MATCH(E38&amp;"&gt;"&amp;H38,Unit_Key,0)),"NO FACTOR")))</f>
        <v>1</v>
      </c>
      <c r="J38" s="27" t="n">
        <f aca="false">IF(ISNUMBER(I38),D38*I38,"")</f>
        <v>4</v>
      </c>
      <c r="K38" s="24" t="n">
        <f aca="false">IF(G38="NOT FOUND","",INDEX(Components!$J$2:$J$500,MATCH(F38,Components!$I$2:$I$500,0)))</f>
        <v>6.9</v>
      </c>
      <c r="L38" s="24" t="n">
        <f aca="false">IF(AND(ISNUMBER(J38),ISNUMBER(K38)),J38*K38,"")</f>
        <v>27.6</v>
      </c>
      <c r="M38" s="15" t="str">
        <f aca="false">IF(G38="NOT FOUND","",IF(INDEX(Components!$G$2:$G$500,MATCH(F38,Components!$I$2:$I$500,0))="","UNKNOWN",INDEX(Components!$G$2:$G$500,MATCH(F38,Components!$I$2:$I$500,0))))</f>
        <v>DE</v>
      </c>
      <c r="N38" s="15" t="str">
        <f aca="false">IF(M38="","",IF(M38="UNKNOWN","Unknown",IF(M38=Home_Country,"Domestic","Imported")))</f>
        <v>Imported</v>
      </c>
      <c r="O38" s="15" t="str">
        <f aca="false">IF(G38="NOT FOUND","",INDEX(Components!$F$2:$F$500,MATCH(F38,Components!$I$2:$I$500,0)))</f>
        <v>SUP-10</v>
      </c>
      <c r="P38" s="28" t="n">
        <f aca="false">SUMIFS(Sales!$G$2:$G$500,Sales!$I$2:$I$500,A38)</f>
        <v>127</v>
      </c>
      <c r="Q38" s="29" t="n">
        <f aca="false">IF(ISNUMBER(L38),L38*P38,"")</f>
        <v>3505.2</v>
      </c>
      <c r="R38" s="15" t="str">
        <f aca="false">IF(G38="NOT FOUND","Unknown component; ","")&amp;IF(I38="NO FACTOR","No unit conversion; ","")&amp;IF(AND(G38&lt;&gt;"NOT FOUND",K38=""),"Missing cost; ","")&amp;IF(M38="UNKNOWN","Missing origin; ","")</f>
        <v/>
      </c>
      <c r="S38" s="15" t="str">
        <f aca="false">IF(R38="","OK","CHECK")</f>
        <v>OK</v>
      </c>
    </row>
    <row r="39" customFormat="false" ht="15" hidden="false" customHeight="false" outlineLevel="0" collapsed="false">
      <c r="A39" s="12" t="s">
        <v>112</v>
      </c>
      <c r="B39" s="12" t="n">
        <v>100</v>
      </c>
      <c r="C39" s="12" t="s">
        <v>223</v>
      </c>
      <c r="D39" s="25" t="n">
        <v>8</v>
      </c>
      <c r="E39" s="12" t="s">
        <v>225</v>
      </c>
      <c r="F39" s="15" t="str">
        <f aca="false">UPPER(TRIM(C39))</f>
        <v>SEAL-BUT</v>
      </c>
      <c r="G39" s="15" t="str">
        <f aca="false">IFERROR(INDEX(Components!$B$2:$B$500,MATCH(F39,Components!$I$2:$I$500,0)),"NOT FOUND")</f>
        <v>Butyl joint sealant</v>
      </c>
      <c r="H39" s="15" t="str">
        <f aca="false">IF(G39="NOT FOUND","",INDEX(Components!$C$2:$C$500,MATCH(F39,Components!$I$2:$I$500,0)))</f>
        <v>M</v>
      </c>
      <c r="I39" s="26" t="n">
        <f aca="false">IF(G39="NOT FOUND","",IF(E39=H39,1,IFERROR(INDEX(Unit_Factor,MATCH(E39&amp;"&gt;"&amp;H39,Unit_Key,0)),"NO FACTOR")))</f>
        <v>1</v>
      </c>
      <c r="J39" s="27" t="n">
        <f aca="false">IF(ISNUMBER(I39),D39*I39,"")</f>
        <v>8</v>
      </c>
      <c r="K39" s="24" t="str">
        <f aca="false">IF(G39="NOT FOUND","",INDEX(Components!$J$2:$J$500,MATCH(F39,Components!$I$2:$I$500,0)))</f>
        <v/>
      </c>
      <c r="L39" s="24" t="str">
        <f aca="false">IF(AND(ISNUMBER(J39),ISNUMBER(K39)),J39*K39,"")</f>
        <v/>
      </c>
      <c r="M39" s="15" t="str">
        <f aca="false">IF(G39="NOT FOUND","",IF(INDEX(Components!$G$2:$G$500,MATCH(F39,Components!$I$2:$I$500,0))="","UNKNOWN",INDEX(Components!$G$2:$G$500,MATCH(F39,Components!$I$2:$I$500,0))))</f>
        <v>CA</v>
      </c>
      <c r="N39" s="15" t="str">
        <f aca="false">IF(M39="","",IF(M39="UNKNOWN","Unknown",IF(M39=Home_Country,"Domestic","Imported")))</f>
        <v>Domestic</v>
      </c>
      <c r="O39" s="15" t="str">
        <f aca="false">IF(G39="NOT FOUND","",INDEX(Components!$F$2:$F$500,MATCH(F39,Components!$I$2:$I$500,0)))</f>
        <v>SUP-12</v>
      </c>
      <c r="P39" s="28" t="n">
        <f aca="false">SUMIFS(Sales!$G$2:$G$500,Sales!$I$2:$I$500,A39)</f>
        <v>127</v>
      </c>
      <c r="Q39" s="29" t="str">
        <f aca="false">IF(ISNUMBER(L39),L39*P39,"")</f>
        <v/>
      </c>
      <c r="R39" s="15" t="str">
        <f aca="false">IF(G39="NOT FOUND","Unknown component; ","")&amp;IF(I39="NO FACTOR","No unit conversion; ","")&amp;IF(AND(G39&lt;&gt;"NOT FOUND",K39=""),"Missing cost; ","")&amp;IF(M39="UNKNOWN","Missing origin; ","")</f>
        <v>Missing cost; </v>
      </c>
      <c r="S39" s="15" t="str">
        <f aca="false">IF(R39="","OK","CHECK")</f>
        <v>CHECK</v>
      </c>
    </row>
    <row r="40" customFormat="false" ht="15" hidden="false" customHeight="false" outlineLevel="0" collapsed="false">
      <c r="A40" s="12" t="s">
        <v>112</v>
      </c>
      <c r="B40" s="12" t="n">
        <v>110</v>
      </c>
      <c r="C40" s="12" t="s">
        <v>227</v>
      </c>
      <c r="D40" s="25" t="n">
        <v>1</v>
      </c>
      <c r="E40" s="12" t="s">
        <v>190</v>
      </c>
      <c r="F40" s="15" t="str">
        <f aca="false">UPPER(TRIM(C40))</f>
        <v>FRM-OIL</v>
      </c>
      <c r="G40" s="15" t="str">
        <f aca="false">IFERROR(INDEX(Components!$B$2:$B$500,MATCH(F40,Components!$I$2:$I$500,0)),"NOT FOUND")</f>
        <v>Form release agent</v>
      </c>
      <c r="H40" s="15" t="str">
        <f aca="false">IF(G40="NOT FOUND","",INDEX(Components!$C$2:$C$500,MATCH(F40,Components!$I$2:$I$500,0)))</f>
        <v>L</v>
      </c>
      <c r="I40" s="26" t="n">
        <f aca="false">IF(G40="NOT FOUND","",IF(E40=H40,1,IFERROR(INDEX(Unit_Factor,MATCH(E40&amp;"&gt;"&amp;H40,Unit_Key,0)),"NO FACTOR")))</f>
        <v>1</v>
      </c>
      <c r="J40" s="27" t="n">
        <f aca="false">IF(ISNUMBER(I40),D40*I40,"")</f>
        <v>1</v>
      </c>
      <c r="K40" s="24" t="n">
        <f aca="false">IF(G40="NOT FOUND","",INDEX(Components!$J$2:$J$500,MATCH(F40,Components!$I$2:$I$500,0)))</f>
        <v>1.15</v>
      </c>
      <c r="L40" s="24" t="n">
        <f aca="false">IF(AND(ISNUMBER(J40),ISNUMBER(K40)),J40*K40,"")</f>
        <v>1.15</v>
      </c>
      <c r="M40" s="15" t="str">
        <f aca="false">IF(G40="NOT FOUND","",IF(INDEX(Components!$G$2:$G$500,MATCH(F40,Components!$I$2:$I$500,0))="","UNKNOWN",INDEX(Components!$G$2:$G$500,MATCH(F40,Components!$I$2:$I$500,0))))</f>
        <v>CA</v>
      </c>
      <c r="N40" s="15" t="str">
        <f aca="false">IF(M40="","",IF(M40="UNKNOWN","Unknown",IF(M40=Home_Country,"Domestic","Imported")))</f>
        <v>Domestic</v>
      </c>
      <c r="O40" s="15" t="str">
        <f aca="false">IF(G40="NOT FOUND","",INDEX(Components!$F$2:$F$500,MATCH(F40,Components!$I$2:$I$500,0)))</f>
        <v>SUP-12</v>
      </c>
      <c r="P40" s="28" t="n">
        <f aca="false">SUMIFS(Sales!$G$2:$G$500,Sales!$I$2:$I$500,A40)</f>
        <v>127</v>
      </c>
      <c r="Q40" s="29" t="n">
        <f aca="false">IF(ISNUMBER(L40),L40*P40,"")</f>
        <v>146.05</v>
      </c>
      <c r="R40" s="15" t="str">
        <f aca="false">IF(G40="NOT FOUND","Unknown component; ","")&amp;IF(I40="NO FACTOR","No unit conversion; ","")&amp;IF(AND(G40&lt;&gt;"NOT FOUND",K40=""),"Missing cost; ","")&amp;IF(M40="UNKNOWN","Missing origin; ","")</f>
        <v/>
      </c>
      <c r="S40" s="15" t="str">
        <f aca="false">IF(R40="","OK","CHECK")</f>
        <v>OK</v>
      </c>
    </row>
    <row r="41" customFormat="false" ht="15" hidden="false" customHeight="false" outlineLevel="0" collapsed="false">
      <c r="A41" s="12" t="s">
        <v>115</v>
      </c>
      <c r="B41" s="12" t="n">
        <v>10</v>
      </c>
      <c r="C41" s="12" t="s">
        <v>176</v>
      </c>
      <c r="D41" s="25" t="n">
        <v>0.2625</v>
      </c>
      <c r="E41" s="12" t="s">
        <v>66</v>
      </c>
      <c r="F41" s="15" t="str">
        <f aca="false">UPPER(TRIM(C41))</f>
        <v>CMT-GU</v>
      </c>
      <c r="G41" s="15" t="str">
        <f aca="false">IFERROR(INDEX(Components!$B$2:$B$500,MATCH(F41,Components!$I$2:$I$500,0)),"NOT FOUND")</f>
        <v>Portland cement Type GU</v>
      </c>
      <c r="H41" s="15" t="str">
        <f aca="false">IF(G41="NOT FOUND","",INDEX(Components!$C$2:$C$500,MATCH(F41,Components!$I$2:$I$500,0)))</f>
        <v>T</v>
      </c>
      <c r="I41" s="26" t="n">
        <f aca="false">IF(G41="NOT FOUND","",IF(E41=H41,1,IFERROR(INDEX(Unit_Factor,MATCH(E41&amp;"&gt;"&amp;H41,Unit_Key,0)),"NO FACTOR")))</f>
        <v>1</v>
      </c>
      <c r="J41" s="27" t="n">
        <f aca="false">IF(ISNUMBER(I41),D41*I41,"")</f>
        <v>0.2625</v>
      </c>
      <c r="K41" s="24" t="n">
        <f aca="false">IF(G41="NOT FOUND","",INDEX(Components!$J$2:$J$500,MATCH(F41,Components!$I$2:$I$500,0)))</f>
        <v>235</v>
      </c>
      <c r="L41" s="24" t="n">
        <f aca="false">IF(AND(ISNUMBER(J41),ISNUMBER(K41)),J41*K41,"")</f>
        <v>61.6875</v>
      </c>
      <c r="M41" s="15" t="str">
        <f aca="false">IF(G41="NOT FOUND","",IF(INDEX(Components!$G$2:$G$500,MATCH(F41,Components!$I$2:$I$500,0))="","UNKNOWN",INDEX(Components!$G$2:$G$500,MATCH(F41,Components!$I$2:$I$500,0))))</f>
        <v>CA</v>
      </c>
      <c r="N41" s="15" t="str">
        <f aca="false">IF(M41="","",IF(M41="UNKNOWN","Unknown",IF(M41=Home_Country,"Domestic","Imported")))</f>
        <v>Domestic</v>
      </c>
      <c r="O41" s="15" t="str">
        <f aca="false">IF(G41="NOT FOUND","",INDEX(Components!$F$2:$F$500,MATCH(F41,Components!$I$2:$I$500,0)))</f>
        <v>SUP-01</v>
      </c>
      <c r="P41" s="28" t="n">
        <f aca="false">SUMIFS(Sales!$G$2:$G$500,Sales!$I$2:$I$500,A41)</f>
        <v>78</v>
      </c>
      <c r="Q41" s="29" t="n">
        <f aca="false">IF(ISNUMBER(L41),L41*P41,"")</f>
        <v>4811.625</v>
      </c>
      <c r="R41" s="15" t="str">
        <f aca="false">IF(G41="NOT FOUND","Unknown component; ","")&amp;IF(I41="NO FACTOR","No unit conversion; ","")&amp;IF(AND(G41&lt;&gt;"NOT FOUND",K41=""),"Missing cost; ","")&amp;IF(M41="UNKNOWN","Missing origin; ","")</f>
        <v/>
      </c>
      <c r="S41" s="15" t="str">
        <f aca="false">IF(R41="","OK","CHECK")</f>
        <v>OK</v>
      </c>
    </row>
    <row r="42" customFormat="false" ht="15" hidden="false" customHeight="false" outlineLevel="0" collapsed="false">
      <c r="A42" s="12" t="s">
        <v>115</v>
      </c>
      <c r="B42" s="12" t="n">
        <v>20</v>
      </c>
      <c r="C42" s="12" t="s">
        <v>179</v>
      </c>
      <c r="D42" s="25" t="n">
        <v>0.0525</v>
      </c>
      <c r="E42" s="12" t="s">
        <v>66</v>
      </c>
      <c r="F42" s="15" t="str">
        <f aca="false">UPPER(TRIM(C42))</f>
        <v>SCM-FA</v>
      </c>
      <c r="G42" s="15" t="str">
        <f aca="false">IFERROR(INDEX(Components!$B$2:$B$500,MATCH(F42,Components!$I$2:$I$500,0)),"NOT FOUND")</f>
        <v>Fly ash Class F</v>
      </c>
      <c r="H42" s="15" t="str">
        <f aca="false">IF(G42="NOT FOUND","",INDEX(Components!$C$2:$C$500,MATCH(F42,Components!$I$2:$I$500,0)))</f>
        <v>T</v>
      </c>
      <c r="I42" s="26" t="n">
        <f aca="false">IF(G42="NOT FOUND","",IF(E42=H42,1,IFERROR(INDEX(Unit_Factor,MATCH(E42&amp;"&gt;"&amp;H42,Unit_Key,0)),"NO FACTOR")))</f>
        <v>1</v>
      </c>
      <c r="J42" s="27" t="n">
        <f aca="false">IF(ISNUMBER(I42),D42*I42,"")</f>
        <v>0.0525</v>
      </c>
      <c r="K42" s="24" t="n">
        <f aca="false">IF(G42="NOT FOUND","",INDEX(Components!$J$2:$J$500,MATCH(F42,Components!$I$2:$I$500,0)))</f>
        <v>98.64</v>
      </c>
      <c r="L42" s="24" t="n">
        <f aca="false">IF(AND(ISNUMBER(J42),ISNUMBER(K42)),J42*K42,"")</f>
        <v>5.1786</v>
      </c>
      <c r="M42" s="15" t="str">
        <f aca="false">IF(G42="NOT FOUND","",IF(INDEX(Components!$G$2:$G$500,MATCH(F42,Components!$I$2:$I$500,0))="","UNKNOWN",INDEX(Components!$G$2:$G$500,MATCH(F42,Components!$I$2:$I$500,0))))</f>
        <v>US</v>
      </c>
      <c r="N42" s="15" t="str">
        <f aca="false">IF(M42="","",IF(M42="UNKNOWN","Unknown",IF(M42=Home_Country,"Domestic","Imported")))</f>
        <v>Imported</v>
      </c>
      <c r="O42" s="15" t="str">
        <f aca="false">IF(G42="NOT FOUND","",INDEX(Components!$F$2:$F$500,MATCH(F42,Components!$I$2:$I$500,0)))</f>
        <v>SUP-02</v>
      </c>
      <c r="P42" s="28" t="n">
        <f aca="false">SUMIFS(Sales!$G$2:$G$500,Sales!$I$2:$I$500,A42)</f>
        <v>78</v>
      </c>
      <c r="Q42" s="29" t="n">
        <f aca="false">IF(ISNUMBER(L42),L42*P42,"")</f>
        <v>403.9308</v>
      </c>
      <c r="R42" s="15" t="str">
        <f aca="false">IF(G42="NOT FOUND","Unknown component; ","")&amp;IF(I42="NO FACTOR","No unit conversion; ","")&amp;IF(AND(G42&lt;&gt;"NOT FOUND",K42=""),"Missing cost; ","")&amp;IF(M42="UNKNOWN","Missing origin; ","")</f>
        <v/>
      </c>
      <c r="S42" s="15" t="str">
        <f aca="false">IF(R42="","OK","CHECK")</f>
        <v>OK</v>
      </c>
    </row>
    <row r="43" customFormat="false" ht="15" hidden="false" customHeight="false" outlineLevel="0" collapsed="false">
      <c r="A43" s="12" t="s">
        <v>115</v>
      </c>
      <c r="B43" s="12" t="n">
        <v>30</v>
      </c>
      <c r="C43" s="12" t="s">
        <v>182</v>
      </c>
      <c r="D43" s="25" t="n">
        <v>0.7875</v>
      </c>
      <c r="E43" s="12" t="s">
        <v>66</v>
      </c>
      <c r="F43" s="15" t="str">
        <f aca="false">UPPER(TRIM(C43))</f>
        <v>AGG-20</v>
      </c>
      <c r="G43" s="15" t="str">
        <f aca="false">IFERROR(INDEX(Components!$B$2:$B$500,MATCH(F43,Components!$I$2:$I$500,0)),"NOT FOUND")</f>
        <v>Coarse aggregate 20 mm</v>
      </c>
      <c r="H43" s="15" t="str">
        <f aca="false">IF(G43="NOT FOUND","",INDEX(Components!$C$2:$C$500,MATCH(F43,Components!$I$2:$I$500,0)))</f>
        <v>T</v>
      </c>
      <c r="I43" s="26" t="n">
        <f aca="false">IF(G43="NOT FOUND","",IF(E43=H43,1,IFERROR(INDEX(Unit_Factor,MATCH(E43&amp;"&gt;"&amp;H43,Unit_Key,0)),"NO FACTOR")))</f>
        <v>1</v>
      </c>
      <c r="J43" s="27" t="n">
        <f aca="false">IF(ISNUMBER(I43),D43*I43,"")</f>
        <v>0.7875</v>
      </c>
      <c r="K43" s="24" t="n">
        <f aca="false">IF(G43="NOT FOUND","",INDEX(Components!$J$2:$J$500,MATCH(F43,Components!$I$2:$I$500,0)))</f>
        <v>28</v>
      </c>
      <c r="L43" s="24" t="n">
        <f aca="false">IF(AND(ISNUMBER(J43),ISNUMBER(K43)),J43*K43,"")</f>
        <v>22.05</v>
      </c>
      <c r="M43" s="15" t="str">
        <f aca="false">IF(G43="NOT FOUND","",IF(INDEX(Components!$G$2:$G$500,MATCH(F43,Components!$I$2:$I$500,0))="","UNKNOWN",INDEX(Components!$G$2:$G$500,MATCH(F43,Components!$I$2:$I$500,0))))</f>
        <v>CA</v>
      </c>
      <c r="N43" s="15" t="str">
        <f aca="false">IF(M43="","",IF(M43="UNKNOWN","Unknown",IF(M43=Home_Country,"Domestic","Imported")))</f>
        <v>Domestic</v>
      </c>
      <c r="O43" s="15" t="str">
        <f aca="false">IF(G43="NOT FOUND","",INDEX(Components!$F$2:$F$500,MATCH(F43,Components!$I$2:$I$500,0)))</f>
        <v>SUP-03</v>
      </c>
      <c r="P43" s="28" t="n">
        <f aca="false">SUMIFS(Sales!$G$2:$G$500,Sales!$I$2:$I$500,A43)</f>
        <v>78</v>
      </c>
      <c r="Q43" s="29" t="n">
        <f aca="false">IF(ISNUMBER(L43),L43*P43,"")</f>
        <v>1719.9</v>
      </c>
      <c r="R43" s="15" t="str">
        <f aca="false">IF(G43="NOT FOUND","Unknown component; ","")&amp;IF(I43="NO FACTOR","No unit conversion; ","")&amp;IF(AND(G43&lt;&gt;"NOT FOUND",K43=""),"Missing cost; ","")&amp;IF(M43="UNKNOWN","Missing origin; ","")</f>
        <v/>
      </c>
      <c r="S43" s="15" t="str">
        <f aca="false">IF(R43="","OK","CHECK")</f>
        <v>OK</v>
      </c>
    </row>
    <row r="44" customFormat="false" ht="15" hidden="false" customHeight="false" outlineLevel="0" collapsed="false">
      <c r="A44" s="12" t="s">
        <v>115</v>
      </c>
      <c r="B44" s="12" t="n">
        <v>40</v>
      </c>
      <c r="C44" s="12" t="s">
        <v>185</v>
      </c>
      <c r="D44" s="25" t="n">
        <v>0.5625</v>
      </c>
      <c r="E44" s="12" t="s">
        <v>66</v>
      </c>
      <c r="F44" s="15" t="str">
        <f aca="false">UPPER(TRIM(C44))</f>
        <v>AGG-SND</v>
      </c>
      <c r="G44" s="15" t="str">
        <f aca="false">IFERROR(INDEX(Components!$B$2:$B$500,MATCH(F44,Components!$I$2:$I$500,0)),"NOT FOUND")</f>
        <v>Concrete sand</v>
      </c>
      <c r="H44" s="15" t="str">
        <f aca="false">IF(G44="NOT FOUND","",INDEX(Components!$C$2:$C$500,MATCH(F44,Components!$I$2:$I$500,0)))</f>
        <v>T</v>
      </c>
      <c r="I44" s="26" t="n">
        <f aca="false">IF(G44="NOT FOUND","",IF(E44=H44,1,IFERROR(INDEX(Unit_Factor,MATCH(E44&amp;"&gt;"&amp;H44,Unit_Key,0)),"NO FACTOR")))</f>
        <v>1</v>
      </c>
      <c r="J44" s="27" t="n">
        <f aca="false">IF(ISNUMBER(I44),D44*I44,"")</f>
        <v>0.5625</v>
      </c>
      <c r="K44" s="24" t="n">
        <f aca="false">IF(G44="NOT FOUND","",INDEX(Components!$J$2:$J$500,MATCH(F44,Components!$I$2:$I$500,0)))</f>
        <v>24</v>
      </c>
      <c r="L44" s="24" t="n">
        <f aca="false">IF(AND(ISNUMBER(J44),ISNUMBER(K44)),J44*K44,"")</f>
        <v>13.5</v>
      </c>
      <c r="M44" s="15" t="str">
        <f aca="false">IF(G44="NOT FOUND","",IF(INDEX(Components!$G$2:$G$500,MATCH(F44,Components!$I$2:$I$500,0))="","UNKNOWN",INDEX(Components!$G$2:$G$500,MATCH(F44,Components!$I$2:$I$500,0))))</f>
        <v>CA</v>
      </c>
      <c r="N44" s="15" t="str">
        <f aca="false">IF(M44="","",IF(M44="UNKNOWN","Unknown",IF(M44=Home_Country,"Domestic","Imported")))</f>
        <v>Domestic</v>
      </c>
      <c r="O44" s="15" t="str">
        <f aca="false">IF(G44="NOT FOUND","",INDEX(Components!$F$2:$F$500,MATCH(F44,Components!$I$2:$I$500,0)))</f>
        <v>SUP-03</v>
      </c>
      <c r="P44" s="28" t="n">
        <f aca="false">SUMIFS(Sales!$G$2:$G$500,Sales!$I$2:$I$500,A44)</f>
        <v>78</v>
      </c>
      <c r="Q44" s="29" t="n">
        <f aca="false">IF(ISNUMBER(L44),L44*P44,"")</f>
        <v>1053</v>
      </c>
      <c r="R44" s="15" t="str">
        <f aca="false">IF(G44="NOT FOUND","Unknown component; ","")&amp;IF(I44="NO FACTOR","No unit conversion; ","")&amp;IF(AND(G44&lt;&gt;"NOT FOUND",K44=""),"Missing cost; ","")&amp;IF(M44="UNKNOWN","Missing origin; ","")</f>
        <v/>
      </c>
      <c r="S44" s="15" t="str">
        <f aca="false">IF(R44="","OK","CHECK")</f>
        <v>OK</v>
      </c>
    </row>
    <row r="45" customFormat="false" ht="15" hidden="false" customHeight="false" outlineLevel="0" collapsed="false">
      <c r="A45" s="12" t="s">
        <v>115</v>
      </c>
      <c r="B45" s="12" t="n">
        <v>50</v>
      </c>
      <c r="C45" s="12" t="s">
        <v>188</v>
      </c>
      <c r="D45" s="25" t="n">
        <v>1.5</v>
      </c>
      <c r="E45" s="12" t="s">
        <v>190</v>
      </c>
      <c r="F45" s="15" t="str">
        <f aca="false">UPPER(TRIM(C45))</f>
        <v>ADM-SP</v>
      </c>
      <c r="G45" s="15" t="str">
        <f aca="false">IFERROR(INDEX(Components!$B$2:$B$500,MATCH(F45,Components!$I$2:$I$500,0)),"NOT FOUND")</f>
        <v>Superplasticizer admixture</v>
      </c>
      <c r="H45" s="15" t="str">
        <f aca="false">IF(G45="NOT FOUND","",INDEX(Components!$C$2:$C$500,MATCH(F45,Components!$I$2:$I$500,0)))</f>
        <v>L</v>
      </c>
      <c r="I45" s="26" t="n">
        <f aca="false">IF(G45="NOT FOUND","",IF(E45=H45,1,IFERROR(INDEX(Unit_Factor,MATCH(E45&amp;"&gt;"&amp;H45,Unit_Key,0)),"NO FACTOR")))</f>
        <v>1</v>
      </c>
      <c r="J45" s="27" t="n">
        <f aca="false">IF(ISNUMBER(I45),D45*I45,"")</f>
        <v>1.5</v>
      </c>
      <c r="K45" s="24" t="n">
        <f aca="false">IF(G45="NOT FOUND","",INDEX(Components!$J$2:$J$500,MATCH(F45,Components!$I$2:$I$500,0)))</f>
        <v>4.247</v>
      </c>
      <c r="L45" s="24" t="n">
        <f aca="false">IF(AND(ISNUMBER(J45),ISNUMBER(K45)),J45*K45,"")</f>
        <v>6.3705</v>
      </c>
      <c r="M45" s="15" t="str">
        <f aca="false">IF(G45="NOT FOUND","",IF(INDEX(Components!$G$2:$G$500,MATCH(F45,Components!$I$2:$I$500,0))="","UNKNOWN",INDEX(Components!$G$2:$G$500,MATCH(F45,Components!$I$2:$I$500,0))))</f>
        <v>US</v>
      </c>
      <c r="N45" s="15" t="str">
        <f aca="false">IF(M45="","",IF(M45="UNKNOWN","Unknown",IF(M45=Home_Country,"Domestic","Imported")))</f>
        <v>Imported</v>
      </c>
      <c r="O45" s="15" t="str">
        <f aca="false">IF(G45="NOT FOUND","",INDEX(Components!$F$2:$F$500,MATCH(F45,Components!$I$2:$I$500,0)))</f>
        <v>SUP-04</v>
      </c>
      <c r="P45" s="28" t="n">
        <f aca="false">SUMIFS(Sales!$G$2:$G$500,Sales!$I$2:$I$500,A45)</f>
        <v>78</v>
      </c>
      <c r="Q45" s="29" t="n">
        <f aca="false">IF(ISNUMBER(L45),L45*P45,"")</f>
        <v>496.899</v>
      </c>
      <c r="R45" s="15" t="str">
        <f aca="false">IF(G45="NOT FOUND","Unknown component; ","")&amp;IF(I45="NO FACTOR","No unit conversion; ","")&amp;IF(AND(G45&lt;&gt;"NOT FOUND",K45=""),"Missing cost; ","")&amp;IF(M45="UNKNOWN","Missing origin; ","")</f>
        <v/>
      </c>
      <c r="S45" s="15" t="str">
        <f aca="false">IF(R45="","OK","CHECK")</f>
        <v>OK</v>
      </c>
    </row>
    <row r="46" customFormat="false" ht="15" hidden="false" customHeight="false" outlineLevel="0" collapsed="false">
      <c r="A46" s="12" t="s">
        <v>115</v>
      </c>
      <c r="B46" s="12" t="n">
        <v>60</v>
      </c>
      <c r="C46" s="12" t="s">
        <v>192</v>
      </c>
      <c r="D46" s="25" t="n">
        <v>0.3</v>
      </c>
      <c r="E46" s="12" t="s">
        <v>190</v>
      </c>
      <c r="F46" s="15" t="str">
        <f aca="false">UPPER(TRIM(C46))</f>
        <v>ADM-AE</v>
      </c>
      <c r="G46" s="15" t="str">
        <f aca="false">IFERROR(INDEX(Components!$B$2:$B$500,MATCH(F46,Components!$I$2:$I$500,0)),"NOT FOUND")</f>
        <v>Air-entraining admixture</v>
      </c>
      <c r="H46" s="15" t="str">
        <f aca="false">IF(G46="NOT FOUND","",INDEX(Components!$C$2:$C$500,MATCH(F46,Components!$I$2:$I$500,0)))</f>
        <v>L</v>
      </c>
      <c r="I46" s="26" t="n">
        <f aca="false">IF(G46="NOT FOUND","",IF(E46=H46,1,IFERROR(INDEX(Unit_Factor,MATCH(E46&amp;"&gt;"&amp;H46,Unit_Key,0)),"NO FACTOR")))</f>
        <v>1</v>
      </c>
      <c r="J46" s="27" t="n">
        <f aca="false">IF(ISNUMBER(I46),D46*I46,"")</f>
        <v>0.3</v>
      </c>
      <c r="K46" s="24" t="n">
        <f aca="false">IF(G46="NOT FOUND","",INDEX(Components!$J$2:$J$500,MATCH(F46,Components!$I$2:$I$500,0)))</f>
        <v>3.288</v>
      </c>
      <c r="L46" s="24" t="n">
        <f aca="false">IF(AND(ISNUMBER(J46),ISNUMBER(K46)),J46*K46,"")</f>
        <v>0.9864</v>
      </c>
      <c r="M46" s="15" t="str">
        <f aca="false">IF(G46="NOT FOUND","",IF(INDEX(Components!$G$2:$G$500,MATCH(F46,Components!$I$2:$I$500,0))="","UNKNOWN",INDEX(Components!$G$2:$G$500,MATCH(F46,Components!$I$2:$I$500,0))))</f>
        <v>US</v>
      </c>
      <c r="N46" s="15" t="str">
        <f aca="false">IF(M46="","",IF(M46="UNKNOWN","Unknown",IF(M46=Home_Country,"Domestic","Imported")))</f>
        <v>Imported</v>
      </c>
      <c r="O46" s="15" t="str">
        <f aca="false">IF(G46="NOT FOUND","",INDEX(Components!$F$2:$F$500,MATCH(F46,Components!$I$2:$I$500,0)))</f>
        <v>SUP-04</v>
      </c>
      <c r="P46" s="28" t="n">
        <f aca="false">SUMIFS(Sales!$G$2:$G$500,Sales!$I$2:$I$500,A46)</f>
        <v>78</v>
      </c>
      <c r="Q46" s="29" t="n">
        <f aca="false">IF(ISNUMBER(L46),L46*P46,"")</f>
        <v>76.9392</v>
      </c>
      <c r="R46" s="15" t="str">
        <f aca="false">IF(G46="NOT FOUND","Unknown component; ","")&amp;IF(I46="NO FACTOR","No unit conversion; ","")&amp;IF(AND(G46&lt;&gt;"NOT FOUND",K46=""),"Missing cost; ","")&amp;IF(M46="UNKNOWN","Missing origin; ","")</f>
        <v/>
      </c>
      <c r="S46" s="15" t="str">
        <f aca="false">IF(R46="","OK","CHECK")</f>
        <v>OK</v>
      </c>
    </row>
    <row r="47" customFormat="false" ht="15" hidden="false" customHeight="false" outlineLevel="0" collapsed="false">
      <c r="A47" s="12" t="s">
        <v>115</v>
      </c>
      <c r="B47" s="12" t="n">
        <v>70</v>
      </c>
      <c r="C47" s="12" t="s">
        <v>195</v>
      </c>
      <c r="D47" s="25" t="n">
        <v>30</v>
      </c>
      <c r="E47" s="12" t="s">
        <v>62</v>
      </c>
      <c r="F47" s="15" t="str">
        <f aca="false">UPPER(TRIM(C47))</f>
        <v>RB-10M</v>
      </c>
      <c r="G47" s="15" t="str">
        <f aca="false">IFERROR(INDEX(Components!$B$2:$B$500,MATCH(F47,Components!$I$2:$I$500,0)),"NOT FOUND")</f>
        <v>Rebar 10M</v>
      </c>
      <c r="H47" s="15" t="str">
        <f aca="false">IF(G47="NOT FOUND","",INDEX(Components!$C$2:$C$500,MATCH(F47,Components!$I$2:$I$500,0)))</f>
        <v>KG</v>
      </c>
      <c r="I47" s="26" t="n">
        <f aca="false">IF(G47="NOT FOUND","",IF(E47=H47,1,IFERROR(INDEX(Unit_Factor,MATCH(E47&amp;"&gt;"&amp;H47,Unit_Key,0)),"NO FACTOR")))</f>
        <v>1</v>
      </c>
      <c r="J47" s="27" t="n">
        <f aca="false">IF(ISNUMBER(I47),D47*I47,"")</f>
        <v>30</v>
      </c>
      <c r="K47" s="24" t="n">
        <f aca="false">IF(G47="NOT FOUND","",INDEX(Components!$J$2:$J$500,MATCH(F47,Components!$I$2:$I$500,0)))</f>
        <v>1.38</v>
      </c>
      <c r="L47" s="24" t="n">
        <f aca="false">IF(AND(ISNUMBER(J47),ISNUMBER(K47)),J47*K47,"")</f>
        <v>41.4</v>
      </c>
      <c r="M47" s="15" t="str">
        <f aca="false">IF(G47="NOT FOUND","",IF(INDEX(Components!$G$2:$G$500,MATCH(F47,Components!$I$2:$I$500,0))="","UNKNOWN",INDEX(Components!$G$2:$G$500,MATCH(F47,Components!$I$2:$I$500,0))))</f>
        <v>CA</v>
      </c>
      <c r="N47" s="15" t="str">
        <f aca="false">IF(M47="","",IF(M47="UNKNOWN","Unknown",IF(M47=Home_Country,"Domestic","Imported")))</f>
        <v>Domestic</v>
      </c>
      <c r="O47" s="15" t="str">
        <f aca="false">IF(G47="NOT FOUND","",INDEX(Components!$F$2:$F$500,MATCH(F47,Components!$I$2:$I$500,0)))</f>
        <v>SUP-05</v>
      </c>
      <c r="P47" s="28" t="n">
        <f aca="false">SUMIFS(Sales!$G$2:$G$500,Sales!$I$2:$I$500,A47)</f>
        <v>78</v>
      </c>
      <c r="Q47" s="29" t="n">
        <f aca="false">IF(ISNUMBER(L47),L47*P47,"")</f>
        <v>3229.2</v>
      </c>
      <c r="R47" s="15" t="str">
        <f aca="false">IF(G47="NOT FOUND","Unknown component; ","")&amp;IF(I47="NO FACTOR","No unit conversion; ","")&amp;IF(AND(G47&lt;&gt;"NOT FOUND",K47=""),"Missing cost; ","")&amp;IF(M47="UNKNOWN","Missing origin; ","")</f>
        <v/>
      </c>
      <c r="S47" s="15" t="str">
        <f aca="false">IF(R47="","OK","CHECK")</f>
        <v>OK</v>
      </c>
    </row>
    <row r="48" customFormat="false" ht="15" hidden="false" customHeight="false" outlineLevel="0" collapsed="false">
      <c r="A48" s="12" t="s">
        <v>115</v>
      </c>
      <c r="B48" s="12" t="n">
        <v>80</v>
      </c>
      <c r="C48" s="12" t="s">
        <v>215</v>
      </c>
      <c r="D48" s="25" t="n">
        <v>2</v>
      </c>
      <c r="E48" s="12" t="s">
        <v>106</v>
      </c>
      <c r="F48" s="15" t="str">
        <f aca="false">UPPER(TRIM(C48))</f>
        <v>LFT-ANC</v>
      </c>
      <c r="G48" s="15" t="str">
        <f aca="false">IFERROR(INDEX(Components!$B$2:$B$500,MATCH(F48,Components!$I$2:$I$500,0)),"NOT FOUND")</f>
        <v>Lifting anchor 2.5 t</v>
      </c>
      <c r="H48" s="15" t="str">
        <f aca="false">IF(G48="NOT FOUND","",INDEX(Components!$C$2:$C$500,MATCH(F48,Components!$I$2:$I$500,0)))</f>
        <v>EA</v>
      </c>
      <c r="I48" s="26" t="n">
        <f aca="false">IF(G48="NOT FOUND","",IF(E48=H48,1,IFERROR(INDEX(Unit_Factor,MATCH(E48&amp;"&gt;"&amp;H48,Unit_Key,0)),"NO FACTOR")))</f>
        <v>1</v>
      </c>
      <c r="J48" s="27" t="n">
        <f aca="false">IF(ISNUMBER(I48),D48*I48,"")</f>
        <v>2</v>
      </c>
      <c r="K48" s="24" t="n">
        <f aca="false">IF(G48="NOT FOUND","",INDEX(Components!$J$2:$J$500,MATCH(F48,Components!$I$2:$I$500,0)))</f>
        <v>6.9</v>
      </c>
      <c r="L48" s="24" t="n">
        <f aca="false">IF(AND(ISNUMBER(J48),ISNUMBER(K48)),J48*K48,"")</f>
        <v>13.8</v>
      </c>
      <c r="M48" s="15" t="str">
        <f aca="false">IF(G48="NOT FOUND","",IF(INDEX(Components!$G$2:$G$500,MATCH(F48,Components!$I$2:$I$500,0))="","UNKNOWN",INDEX(Components!$G$2:$G$500,MATCH(F48,Components!$I$2:$I$500,0))))</f>
        <v>DE</v>
      </c>
      <c r="N48" s="15" t="str">
        <f aca="false">IF(M48="","",IF(M48="UNKNOWN","Unknown",IF(M48=Home_Country,"Domestic","Imported")))</f>
        <v>Imported</v>
      </c>
      <c r="O48" s="15" t="str">
        <f aca="false">IF(G48="NOT FOUND","",INDEX(Components!$F$2:$F$500,MATCH(F48,Components!$I$2:$I$500,0)))</f>
        <v>SUP-10</v>
      </c>
      <c r="P48" s="28" t="n">
        <f aca="false">SUMIFS(Sales!$G$2:$G$500,Sales!$I$2:$I$500,A48)</f>
        <v>78</v>
      </c>
      <c r="Q48" s="29" t="n">
        <f aca="false">IF(ISNUMBER(L48),L48*P48,"")</f>
        <v>1076.4</v>
      </c>
      <c r="R48" s="15" t="str">
        <f aca="false">IF(G48="NOT FOUND","Unknown component; ","")&amp;IF(I48="NO FACTOR","No unit conversion; ","")&amp;IF(AND(G48&lt;&gt;"NOT FOUND",K48=""),"Missing cost; ","")&amp;IF(M48="UNKNOWN","Missing origin; ","")</f>
        <v/>
      </c>
      <c r="S48" s="15" t="str">
        <f aca="false">IF(R48="","OK","CHECK")</f>
        <v>OK</v>
      </c>
    </row>
    <row r="49" customFormat="false" ht="15" hidden="false" customHeight="false" outlineLevel="0" collapsed="false">
      <c r="A49" s="12" t="s">
        <v>115</v>
      </c>
      <c r="B49" s="12" t="n">
        <v>90</v>
      </c>
      <c r="C49" s="12" t="s">
        <v>227</v>
      </c>
      <c r="D49" s="25" t="n">
        <v>0.4</v>
      </c>
      <c r="E49" s="12" t="s">
        <v>190</v>
      </c>
      <c r="F49" s="15" t="str">
        <f aca="false">UPPER(TRIM(C49))</f>
        <v>FRM-OIL</v>
      </c>
      <c r="G49" s="15" t="str">
        <f aca="false">IFERROR(INDEX(Components!$B$2:$B$500,MATCH(F49,Components!$I$2:$I$500,0)),"NOT FOUND")</f>
        <v>Form release agent</v>
      </c>
      <c r="H49" s="15" t="str">
        <f aca="false">IF(G49="NOT FOUND","",INDEX(Components!$C$2:$C$500,MATCH(F49,Components!$I$2:$I$500,0)))</f>
        <v>L</v>
      </c>
      <c r="I49" s="26" t="n">
        <f aca="false">IF(G49="NOT FOUND","",IF(E49=H49,1,IFERROR(INDEX(Unit_Factor,MATCH(E49&amp;"&gt;"&amp;H49,Unit_Key,0)),"NO FACTOR")))</f>
        <v>1</v>
      </c>
      <c r="J49" s="27" t="n">
        <f aca="false">IF(ISNUMBER(I49),D49*I49,"")</f>
        <v>0.4</v>
      </c>
      <c r="K49" s="24" t="n">
        <f aca="false">IF(G49="NOT FOUND","",INDEX(Components!$J$2:$J$500,MATCH(F49,Components!$I$2:$I$500,0)))</f>
        <v>1.15</v>
      </c>
      <c r="L49" s="24" t="n">
        <f aca="false">IF(AND(ISNUMBER(J49),ISNUMBER(K49)),J49*K49,"")</f>
        <v>0.46</v>
      </c>
      <c r="M49" s="15" t="str">
        <f aca="false">IF(G49="NOT FOUND","",IF(INDEX(Components!$G$2:$G$500,MATCH(F49,Components!$I$2:$I$500,0))="","UNKNOWN",INDEX(Components!$G$2:$G$500,MATCH(F49,Components!$I$2:$I$500,0))))</f>
        <v>CA</v>
      </c>
      <c r="N49" s="15" t="str">
        <f aca="false">IF(M49="","",IF(M49="UNKNOWN","Unknown",IF(M49=Home_Country,"Domestic","Imported")))</f>
        <v>Domestic</v>
      </c>
      <c r="O49" s="15" t="str">
        <f aca="false">IF(G49="NOT FOUND","",INDEX(Components!$F$2:$F$500,MATCH(F49,Components!$I$2:$I$500,0)))</f>
        <v>SUP-12</v>
      </c>
      <c r="P49" s="28" t="n">
        <f aca="false">SUMIFS(Sales!$G$2:$G$500,Sales!$I$2:$I$500,A49)</f>
        <v>78</v>
      </c>
      <c r="Q49" s="29" t="n">
        <f aca="false">IF(ISNUMBER(L49),L49*P49,"")</f>
        <v>35.88</v>
      </c>
      <c r="R49" s="15" t="str">
        <f aca="false">IF(G49="NOT FOUND","Unknown component; ","")&amp;IF(I49="NO FACTOR","No unit conversion; ","")&amp;IF(AND(G49&lt;&gt;"NOT FOUND",K49=""),"Missing cost; ","")&amp;IF(M49="UNKNOWN","Missing origin; ","")</f>
        <v/>
      </c>
      <c r="S49" s="15" t="str">
        <f aca="false">IF(R49="","OK","CHECK")</f>
        <v>OK</v>
      </c>
    </row>
    <row r="50" customFormat="false" ht="15" hidden="false" customHeight="false" outlineLevel="0" collapsed="false">
      <c r="A50" s="12" t="s">
        <v>118</v>
      </c>
      <c r="B50" s="12" t="n">
        <v>10</v>
      </c>
      <c r="C50" s="12" t="s">
        <v>176</v>
      </c>
      <c r="D50" s="25" t="n">
        <v>0.3325</v>
      </c>
      <c r="E50" s="12" t="s">
        <v>66</v>
      </c>
      <c r="F50" s="15" t="str">
        <f aca="false">UPPER(TRIM(C50))</f>
        <v>CMT-GU</v>
      </c>
      <c r="G50" s="15" t="str">
        <f aca="false">IFERROR(INDEX(Components!$B$2:$B$500,MATCH(F50,Components!$I$2:$I$500,0)),"NOT FOUND")</f>
        <v>Portland cement Type GU</v>
      </c>
      <c r="H50" s="15" t="str">
        <f aca="false">IF(G50="NOT FOUND","",INDEX(Components!$C$2:$C$500,MATCH(F50,Components!$I$2:$I$500,0)))</f>
        <v>T</v>
      </c>
      <c r="I50" s="26" t="n">
        <f aca="false">IF(G50="NOT FOUND","",IF(E50=H50,1,IFERROR(INDEX(Unit_Factor,MATCH(E50&amp;"&gt;"&amp;H50,Unit_Key,0)),"NO FACTOR")))</f>
        <v>1</v>
      </c>
      <c r="J50" s="27" t="n">
        <f aca="false">IF(ISNUMBER(I50),D50*I50,"")</f>
        <v>0.3325</v>
      </c>
      <c r="K50" s="24" t="n">
        <f aca="false">IF(G50="NOT FOUND","",INDEX(Components!$J$2:$J$500,MATCH(F50,Components!$I$2:$I$500,0)))</f>
        <v>235</v>
      </c>
      <c r="L50" s="24" t="n">
        <f aca="false">IF(AND(ISNUMBER(J50),ISNUMBER(K50)),J50*K50,"")</f>
        <v>78.1375</v>
      </c>
      <c r="M50" s="15" t="str">
        <f aca="false">IF(G50="NOT FOUND","",IF(INDEX(Components!$G$2:$G$500,MATCH(F50,Components!$I$2:$I$500,0))="","UNKNOWN",INDEX(Components!$G$2:$G$500,MATCH(F50,Components!$I$2:$I$500,0))))</f>
        <v>CA</v>
      </c>
      <c r="N50" s="15" t="str">
        <f aca="false">IF(M50="","",IF(M50="UNKNOWN","Unknown",IF(M50=Home_Country,"Domestic","Imported")))</f>
        <v>Domestic</v>
      </c>
      <c r="O50" s="15" t="str">
        <f aca="false">IF(G50="NOT FOUND","",INDEX(Components!$F$2:$F$500,MATCH(F50,Components!$I$2:$I$500,0)))</f>
        <v>SUP-01</v>
      </c>
      <c r="P50" s="28" t="n">
        <f aca="false">SUMIFS(Sales!$G$2:$G$500,Sales!$I$2:$I$500,A50)</f>
        <v>91</v>
      </c>
      <c r="Q50" s="29" t="n">
        <f aca="false">IF(ISNUMBER(L50),L50*P50,"")</f>
        <v>7110.5125</v>
      </c>
      <c r="R50" s="15" t="str">
        <f aca="false">IF(G50="NOT FOUND","Unknown component; ","")&amp;IF(I50="NO FACTOR","No unit conversion; ","")&amp;IF(AND(G50&lt;&gt;"NOT FOUND",K50=""),"Missing cost; ","")&amp;IF(M50="UNKNOWN","Missing origin; ","")</f>
        <v/>
      </c>
      <c r="S50" s="15" t="str">
        <f aca="false">IF(R50="","OK","CHECK")</f>
        <v>OK</v>
      </c>
    </row>
    <row r="51" customFormat="false" ht="15" hidden="false" customHeight="false" outlineLevel="0" collapsed="false">
      <c r="A51" s="12" t="s">
        <v>118</v>
      </c>
      <c r="B51" s="12" t="n">
        <v>20</v>
      </c>
      <c r="C51" s="12" t="s">
        <v>179</v>
      </c>
      <c r="D51" s="25" t="n">
        <v>0.0665</v>
      </c>
      <c r="E51" s="12" t="s">
        <v>66</v>
      </c>
      <c r="F51" s="15" t="str">
        <f aca="false">UPPER(TRIM(C51))</f>
        <v>SCM-FA</v>
      </c>
      <c r="G51" s="15" t="str">
        <f aca="false">IFERROR(INDEX(Components!$B$2:$B$500,MATCH(F51,Components!$I$2:$I$500,0)),"NOT FOUND")</f>
        <v>Fly ash Class F</v>
      </c>
      <c r="H51" s="15" t="str">
        <f aca="false">IF(G51="NOT FOUND","",INDEX(Components!$C$2:$C$500,MATCH(F51,Components!$I$2:$I$500,0)))</f>
        <v>T</v>
      </c>
      <c r="I51" s="26" t="n">
        <f aca="false">IF(G51="NOT FOUND","",IF(E51=H51,1,IFERROR(INDEX(Unit_Factor,MATCH(E51&amp;"&gt;"&amp;H51,Unit_Key,0)),"NO FACTOR")))</f>
        <v>1</v>
      </c>
      <c r="J51" s="27" t="n">
        <f aca="false">IF(ISNUMBER(I51),D51*I51,"")</f>
        <v>0.0665</v>
      </c>
      <c r="K51" s="24" t="n">
        <f aca="false">IF(G51="NOT FOUND","",INDEX(Components!$J$2:$J$500,MATCH(F51,Components!$I$2:$I$500,0)))</f>
        <v>98.64</v>
      </c>
      <c r="L51" s="24" t="n">
        <f aca="false">IF(AND(ISNUMBER(J51),ISNUMBER(K51)),J51*K51,"")</f>
        <v>6.55956</v>
      </c>
      <c r="M51" s="15" t="str">
        <f aca="false">IF(G51="NOT FOUND","",IF(INDEX(Components!$G$2:$G$500,MATCH(F51,Components!$I$2:$I$500,0))="","UNKNOWN",INDEX(Components!$G$2:$G$500,MATCH(F51,Components!$I$2:$I$500,0))))</f>
        <v>US</v>
      </c>
      <c r="N51" s="15" t="str">
        <f aca="false">IF(M51="","",IF(M51="UNKNOWN","Unknown",IF(M51=Home_Country,"Domestic","Imported")))</f>
        <v>Imported</v>
      </c>
      <c r="O51" s="15" t="str">
        <f aca="false">IF(G51="NOT FOUND","",INDEX(Components!$F$2:$F$500,MATCH(F51,Components!$I$2:$I$500,0)))</f>
        <v>SUP-02</v>
      </c>
      <c r="P51" s="28" t="n">
        <f aca="false">SUMIFS(Sales!$G$2:$G$500,Sales!$I$2:$I$500,A51)</f>
        <v>91</v>
      </c>
      <c r="Q51" s="29" t="n">
        <f aca="false">IF(ISNUMBER(L51),L51*P51,"")</f>
        <v>596.91996</v>
      </c>
      <c r="R51" s="15" t="str">
        <f aca="false">IF(G51="NOT FOUND","Unknown component; ","")&amp;IF(I51="NO FACTOR","No unit conversion; ","")&amp;IF(AND(G51&lt;&gt;"NOT FOUND",K51=""),"Missing cost; ","")&amp;IF(M51="UNKNOWN","Missing origin; ","")</f>
        <v/>
      </c>
      <c r="S51" s="15" t="str">
        <f aca="false">IF(R51="","OK","CHECK")</f>
        <v>OK</v>
      </c>
    </row>
    <row r="52" customFormat="false" ht="15" hidden="false" customHeight="false" outlineLevel="0" collapsed="false">
      <c r="A52" s="12" t="s">
        <v>118</v>
      </c>
      <c r="B52" s="12" t="n">
        <v>30</v>
      </c>
      <c r="C52" s="12" t="s">
        <v>182</v>
      </c>
      <c r="D52" s="25" t="n">
        <v>0.9975</v>
      </c>
      <c r="E52" s="12" t="s">
        <v>66</v>
      </c>
      <c r="F52" s="15" t="str">
        <f aca="false">UPPER(TRIM(C52))</f>
        <v>AGG-20</v>
      </c>
      <c r="G52" s="15" t="str">
        <f aca="false">IFERROR(INDEX(Components!$B$2:$B$500,MATCH(F52,Components!$I$2:$I$500,0)),"NOT FOUND")</f>
        <v>Coarse aggregate 20 mm</v>
      </c>
      <c r="H52" s="15" t="str">
        <f aca="false">IF(G52="NOT FOUND","",INDEX(Components!$C$2:$C$500,MATCH(F52,Components!$I$2:$I$500,0)))</f>
        <v>T</v>
      </c>
      <c r="I52" s="26" t="n">
        <f aca="false">IF(G52="NOT FOUND","",IF(E52=H52,1,IFERROR(INDEX(Unit_Factor,MATCH(E52&amp;"&gt;"&amp;H52,Unit_Key,0)),"NO FACTOR")))</f>
        <v>1</v>
      </c>
      <c r="J52" s="27" t="n">
        <f aca="false">IF(ISNUMBER(I52),D52*I52,"")</f>
        <v>0.9975</v>
      </c>
      <c r="K52" s="24" t="n">
        <f aca="false">IF(G52="NOT FOUND","",INDEX(Components!$J$2:$J$500,MATCH(F52,Components!$I$2:$I$500,0)))</f>
        <v>28</v>
      </c>
      <c r="L52" s="24" t="n">
        <f aca="false">IF(AND(ISNUMBER(J52),ISNUMBER(K52)),J52*K52,"")</f>
        <v>27.93</v>
      </c>
      <c r="M52" s="15" t="str">
        <f aca="false">IF(G52="NOT FOUND","",IF(INDEX(Components!$G$2:$G$500,MATCH(F52,Components!$I$2:$I$500,0))="","UNKNOWN",INDEX(Components!$G$2:$G$500,MATCH(F52,Components!$I$2:$I$500,0))))</f>
        <v>CA</v>
      </c>
      <c r="N52" s="15" t="str">
        <f aca="false">IF(M52="","",IF(M52="UNKNOWN","Unknown",IF(M52=Home_Country,"Domestic","Imported")))</f>
        <v>Domestic</v>
      </c>
      <c r="O52" s="15" t="str">
        <f aca="false">IF(G52="NOT FOUND","",INDEX(Components!$F$2:$F$500,MATCH(F52,Components!$I$2:$I$500,0)))</f>
        <v>SUP-03</v>
      </c>
      <c r="P52" s="28" t="n">
        <f aca="false">SUMIFS(Sales!$G$2:$G$500,Sales!$I$2:$I$500,A52)</f>
        <v>91</v>
      </c>
      <c r="Q52" s="29" t="n">
        <f aca="false">IF(ISNUMBER(L52),L52*P52,"")</f>
        <v>2541.63</v>
      </c>
      <c r="R52" s="15" t="str">
        <f aca="false">IF(G52="NOT FOUND","Unknown component; ","")&amp;IF(I52="NO FACTOR","No unit conversion; ","")&amp;IF(AND(G52&lt;&gt;"NOT FOUND",K52=""),"Missing cost; ","")&amp;IF(M52="UNKNOWN","Missing origin; ","")</f>
        <v/>
      </c>
      <c r="S52" s="15" t="str">
        <f aca="false">IF(R52="","OK","CHECK")</f>
        <v>OK</v>
      </c>
    </row>
    <row r="53" customFormat="false" ht="15" hidden="false" customHeight="false" outlineLevel="0" collapsed="false">
      <c r="A53" s="12" t="s">
        <v>118</v>
      </c>
      <c r="B53" s="12" t="n">
        <v>40</v>
      </c>
      <c r="C53" s="12" t="s">
        <v>185</v>
      </c>
      <c r="D53" s="25" t="n">
        <v>0.7125</v>
      </c>
      <c r="E53" s="12" t="s">
        <v>66</v>
      </c>
      <c r="F53" s="15" t="str">
        <f aca="false">UPPER(TRIM(C53))</f>
        <v>AGG-SND</v>
      </c>
      <c r="G53" s="15" t="str">
        <f aca="false">IFERROR(INDEX(Components!$B$2:$B$500,MATCH(F53,Components!$I$2:$I$500,0)),"NOT FOUND")</f>
        <v>Concrete sand</v>
      </c>
      <c r="H53" s="15" t="str">
        <f aca="false">IF(G53="NOT FOUND","",INDEX(Components!$C$2:$C$500,MATCH(F53,Components!$I$2:$I$500,0)))</f>
        <v>T</v>
      </c>
      <c r="I53" s="26" t="n">
        <f aca="false">IF(G53="NOT FOUND","",IF(E53=H53,1,IFERROR(INDEX(Unit_Factor,MATCH(E53&amp;"&gt;"&amp;H53,Unit_Key,0)),"NO FACTOR")))</f>
        <v>1</v>
      </c>
      <c r="J53" s="27" t="n">
        <f aca="false">IF(ISNUMBER(I53),D53*I53,"")</f>
        <v>0.7125</v>
      </c>
      <c r="K53" s="24" t="n">
        <f aca="false">IF(G53="NOT FOUND","",INDEX(Components!$J$2:$J$500,MATCH(F53,Components!$I$2:$I$500,0)))</f>
        <v>24</v>
      </c>
      <c r="L53" s="24" t="n">
        <f aca="false">IF(AND(ISNUMBER(J53),ISNUMBER(K53)),J53*K53,"")</f>
        <v>17.1</v>
      </c>
      <c r="M53" s="15" t="str">
        <f aca="false">IF(G53="NOT FOUND","",IF(INDEX(Components!$G$2:$G$500,MATCH(F53,Components!$I$2:$I$500,0))="","UNKNOWN",INDEX(Components!$G$2:$G$500,MATCH(F53,Components!$I$2:$I$500,0))))</f>
        <v>CA</v>
      </c>
      <c r="N53" s="15" t="str">
        <f aca="false">IF(M53="","",IF(M53="UNKNOWN","Unknown",IF(M53=Home_Country,"Domestic","Imported")))</f>
        <v>Domestic</v>
      </c>
      <c r="O53" s="15" t="str">
        <f aca="false">IF(G53="NOT FOUND","",INDEX(Components!$F$2:$F$500,MATCH(F53,Components!$I$2:$I$500,0)))</f>
        <v>SUP-03</v>
      </c>
      <c r="P53" s="28" t="n">
        <f aca="false">SUMIFS(Sales!$G$2:$G$500,Sales!$I$2:$I$500,A53)</f>
        <v>91</v>
      </c>
      <c r="Q53" s="29" t="n">
        <f aca="false">IF(ISNUMBER(L53),L53*P53,"")</f>
        <v>1556.1</v>
      </c>
      <c r="R53" s="15" t="str">
        <f aca="false">IF(G53="NOT FOUND","Unknown component; ","")&amp;IF(I53="NO FACTOR","No unit conversion; ","")&amp;IF(AND(G53&lt;&gt;"NOT FOUND",K53=""),"Missing cost; ","")&amp;IF(M53="UNKNOWN","Missing origin; ","")</f>
        <v/>
      </c>
      <c r="S53" s="15" t="str">
        <f aca="false">IF(R53="","OK","CHECK")</f>
        <v>OK</v>
      </c>
    </row>
    <row r="54" customFormat="false" ht="15" hidden="false" customHeight="false" outlineLevel="0" collapsed="false">
      <c r="A54" s="12" t="s">
        <v>118</v>
      </c>
      <c r="B54" s="12" t="n">
        <v>50</v>
      </c>
      <c r="C54" s="12" t="s">
        <v>188</v>
      </c>
      <c r="D54" s="25" t="n">
        <v>1.9</v>
      </c>
      <c r="E54" s="12" t="s">
        <v>190</v>
      </c>
      <c r="F54" s="15" t="str">
        <f aca="false">UPPER(TRIM(C54))</f>
        <v>ADM-SP</v>
      </c>
      <c r="G54" s="15" t="str">
        <f aca="false">IFERROR(INDEX(Components!$B$2:$B$500,MATCH(F54,Components!$I$2:$I$500,0)),"NOT FOUND")</f>
        <v>Superplasticizer admixture</v>
      </c>
      <c r="H54" s="15" t="str">
        <f aca="false">IF(G54="NOT FOUND","",INDEX(Components!$C$2:$C$500,MATCH(F54,Components!$I$2:$I$500,0)))</f>
        <v>L</v>
      </c>
      <c r="I54" s="26" t="n">
        <f aca="false">IF(G54="NOT FOUND","",IF(E54=H54,1,IFERROR(INDEX(Unit_Factor,MATCH(E54&amp;"&gt;"&amp;H54,Unit_Key,0)),"NO FACTOR")))</f>
        <v>1</v>
      </c>
      <c r="J54" s="27" t="n">
        <f aca="false">IF(ISNUMBER(I54),D54*I54,"")</f>
        <v>1.9</v>
      </c>
      <c r="K54" s="24" t="n">
        <f aca="false">IF(G54="NOT FOUND","",INDEX(Components!$J$2:$J$500,MATCH(F54,Components!$I$2:$I$500,0)))</f>
        <v>4.247</v>
      </c>
      <c r="L54" s="24" t="n">
        <f aca="false">IF(AND(ISNUMBER(J54),ISNUMBER(K54)),J54*K54,"")</f>
        <v>8.0693</v>
      </c>
      <c r="M54" s="15" t="str">
        <f aca="false">IF(G54="NOT FOUND","",IF(INDEX(Components!$G$2:$G$500,MATCH(F54,Components!$I$2:$I$500,0))="","UNKNOWN",INDEX(Components!$G$2:$G$500,MATCH(F54,Components!$I$2:$I$500,0))))</f>
        <v>US</v>
      </c>
      <c r="N54" s="15" t="str">
        <f aca="false">IF(M54="","",IF(M54="UNKNOWN","Unknown",IF(M54=Home_Country,"Domestic","Imported")))</f>
        <v>Imported</v>
      </c>
      <c r="O54" s="15" t="str">
        <f aca="false">IF(G54="NOT FOUND","",INDEX(Components!$F$2:$F$500,MATCH(F54,Components!$I$2:$I$500,0)))</f>
        <v>SUP-04</v>
      </c>
      <c r="P54" s="28" t="n">
        <f aca="false">SUMIFS(Sales!$G$2:$G$500,Sales!$I$2:$I$500,A54)</f>
        <v>91</v>
      </c>
      <c r="Q54" s="29" t="n">
        <f aca="false">IF(ISNUMBER(L54),L54*P54,"")</f>
        <v>734.3063</v>
      </c>
      <c r="R54" s="15" t="str">
        <f aca="false">IF(G54="NOT FOUND","Unknown component; ","")&amp;IF(I54="NO FACTOR","No unit conversion; ","")&amp;IF(AND(G54&lt;&gt;"NOT FOUND",K54=""),"Missing cost; ","")&amp;IF(M54="UNKNOWN","Missing origin; ","")</f>
        <v/>
      </c>
      <c r="S54" s="15" t="str">
        <f aca="false">IF(R54="","OK","CHECK")</f>
        <v>OK</v>
      </c>
    </row>
    <row r="55" customFormat="false" ht="15" hidden="false" customHeight="false" outlineLevel="0" collapsed="false">
      <c r="A55" s="12" t="s">
        <v>118</v>
      </c>
      <c r="B55" s="12" t="n">
        <v>60</v>
      </c>
      <c r="C55" s="12" t="s">
        <v>192</v>
      </c>
      <c r="D55" s="25" t="n">
        <v>0.38</v>
      </c>
      <c r="E55" s="12" t="s">
        <v>190</v>
      </c>
      <c r="F55" s="15" t="str">
        <f aca="false">UPPER(TRIM(C55))</f>
        <v>ADM-AE</v>
      </c>
      <c r="G55" s="15" t="str">
        <f aca="false">IFERROR(INDEX(Components!$B$2:$B$500,MATCH(F55,Components!$I$2:$I$500,0)),"NOT FOUND")</f>
        <v>Air-entraining admixture</v>
      </c>
      <c r="H55" s="15" t="str">
        <f aca="false">IF(G55="NOT FOUND","",INDEX(Components!$C$2:$C$500,MATCH(F55,Components!$I$2:$I$500,0)))</f>
        <v>L</v>
      </c>
      <c r="I55" s="26" t="n">
        <f aca="false">IF(G55="NOT FOUND","",IF(E55=H55,1,IFERROR(INDEX(Unit_Factor,MATCH(E55&amp;"&gt;"&amp;H55,Unit_Key,0)),"NO FACTOR")))</f>
        <v>1</v>
      </c>
      <c r="J55" s="27" t="n">
        <f aca="false">IF(ISNUMBER(I55),D55*I55,"")</f>
        <v>0.38</v>
      </c>
      <c r="K55" s="24" t="n">
        <f aca="false">IF(G55="NOT FOUND","",INDEX(Components!$J$2:$J$500,MATCH(F55,Components!$I$2:$I$500,0)))</f>
        <v>3.288</v>
      </c>
      <c r="L55" s="24" t="n">
        <f aca="false">IF(AND(ISNUMBER(J55),ISNUMBER(K55)),J55*K55,"")</f>
        <v>1.24944</v>
      </c>
      <c r="M55" s="15" t="str">
        <f aca="false">IF(G55="NOT FOUND","",IF(INDEX(Components!$G$2:$G$500,MATCH(F55,Components!$I$2:$I$500,0))="","UNKNOWN",INDEX(Components!$G$2:$G$500,MATCH(F55,Components!$I$2:$I$500,0))))</f>
        <v>US</v>
      </c>
      <c r="N55" s="15" t="str">
        <f aca="false">IF(M55="","",IF(M55="UNKNOWN","Unknown",IF(M55=Home_Country,"Domestic","Imported")))</f>
        <v>Imported</v>
      </c>
      <c r="O55" s="15" t="str">
        <f aca="false">IF(G55="NOT FOUND","",INDEX(Components!$F$2:$F$500,MATCH(F55,Components!$I$2:$I$500,0)))</f>
        <v>SUP-04</v>
      </c>
      <c r="P55" s="28" t="n">
        <f aca="false">SUMIFS(Sales!$G$2:$G$500,Sales!$I$2:$I$500,A55)</f>
        <v>91</v>
      </c>
      <c r="Q55" s="29" t="n">
        <f aca="false">IF(ISNUMBER(L55),L55*P55,"")</f>
        <v>113.69904</v>
      </c>
      <c r="R55" s="15" t="str">
        <f aca="false">IF(G55="NOT FOUND","Unknown component; ","")&amp;IF(I55="NO FACTOR","No unit conversion; ","")&amp;IF(AND(G55&lt;&gt;"NOT FOUND",K55=""),"Missing cost; ","")&amp;IF(M55="UNKNOWN","Missing origin; ","")</f>
        <v/>
      </c>
      <c r="S55" s="15" t="str">
        <f aca="false">IF(R55="","OK","CHECK")</f>
        <v>OK</v>
      </c>
    </row>
    <row r="56" customFormat="false" ht="15" hidden="false" customHeight="false" outlineLevel="0" collapsed="false">
      <c r="A56" s="12" t="s">
        <v>118</v>
      </c>
      <c r="B56" s="12" t="n">
        <v>70</v>
      </c>
      <c r="C56" s="12" t="s">
        <v>243</v>
      </c>
      <c r="D56" s="25" t="n">
        <v>40</v>
      </c>
      <c r="E56" s="12" t="s">
        <v>62</v>
      </c>
      <c r="F56" s="15" t="str">
        <f aca="false">UPPER(TRIM(C56))</f>
        <v>RB-12M</v>
      </c>
      <c r="G56" s="15" t="str">
        <f aca="false">IFERROR(INDEX(Components!$B$2:$B$500,MATCH(F56,Components!$I$2:$I$500,0)),"NOT FOUND")</f>
        <v>NOT FOUND</v>
      </c>
      <c r="H56" s="15" t="str">
        <f aca="false">IF(G56="NOT FOUND","",INDEX(Components!$C$2:$C$500,MATCH(F56,Components!$I$2:$I$500,0)))</f>
        <v/>
      </c>
      <c r="I56" s="26" t="str">
        <f aca="false">IF(G56="NOT FOUND","",IF(E56=H56,1,IFERROR(INDEX(Unit_Factor,MATCH(E56&amp;"&gt;"&amp;H56,Unit_Key,0)),"NO FACTOR")))</f>
        <v/>
      </c>
      <c r="J56" s="27" t="str">
        <f aca="false">IF(ISNUMBER(I56),D56*I56,"")</f>
        <v/>
      </c>
      <c r="K56" s="24" t="str">
        <f aca="false">IF(G56="NOT FOUND","",INDEX(Components!$J$2:$J$500,MATCH(F56,Components!$I$2:$I$500,0)))</f>
        <v/>
      </c>
      <c r="L56" s="24" t="str">
        <f aca="false">IF(AND(ISNUMBER(J56),ISNUMBER(K56)),J56*K56,"")</f>
        <v/>
      </c>
      <c r="M56" s="15" t="str">
        <f aca="false">IF(G56="NOT FOUND","",IF(INDEX(Components!$G$2:$G$500,MATCH(F56,Components!$I$2:$I$500,0))="","UNKNOWN",INDEX(Components!$G$2:$G$500,MATCH(F56,Components!$I$2:$I$500,0))))</f>
        <v/>
      </c>
      <c r="N56" s="15" t="str">
        <f aca="false">IF(M56="","",IF(M56="UNKNOWN","Unknown",IF(M56=Home_Country,"Domestic","Imported")))</f>
        <v/>
      </c>
      <c r="O56" s="15" t="str">
        <f aca="false">IF(G56="NOT FOUND","",INDEX(Components!$F$2:$F$500,MATCH(F56,Components!$I$2:$I$500,0)))</f>
        <v/>
      </c>
      <c r="P56" s="28" t="n">
        <f aca="false">SUMIFS(Sales!$G$2:$G$500,Sales!$I$2:$I$500,A56)</f>
        <v>91</v>
      </c>
      <c r="Q56" s="29" t="str">
        <f aca="false">IF(ISNUMBER(L56),L56*P56,"")</f>
        <v/>
      </c>
      <c r="R56" s="15" t="str">
        <f aca="false">IF(G56="NOT FOUND","Unknown component; ","")&amp;IF(I56="NO FACTOR","No unit conversion; ","")&amp;IF(AND(G56&lt;&gt;"NOT FOUND",K56=""),"Missing cost; ","")&amp;IF(M56="UNKNOWN","Missing origin; ","")</f>
        <v>Unknown component; </v>
      </c>
      <c r="S56" s="15" t="str">
        <f aca="false">IF(R56="","OK","CHECK")</f>
        <v>CHECK</v>
      </c>
    </row>
    <row r="57" customFormat="false" ht="15" hidden="false" customHeight="false" outlineLevel="0" collapsed="false">
      <c r="A57" s="12" t="s">
        <v>118</v>
      </c>
      <c r="B57" s="12" t="n">
        <v>80</v>
      </c>
      <c r="C57" s="12" t="s">
        <v>215</v>
      </c>
      <c r="D57" s="25" t="n">
        <v>2</v>
      </c>
      <c r="E57" s="12" t="s">
        <v>106</v>
      </c>
      <c r="F57" s="15" t="str">
        <f aca="false">UPPER(TRIM(C57))</f>
        <v>LFT-ANC</v>
      </c>
      <c r="G57" s="15" t="str">
        <f aca="false">IFERROR(INDEX(Components!$B$2:$B$500,MATCH(F57,Components!$I$2:$I$500,0)),"NOT FOUND")</f>
        <v>Lifting anchor 2.5 t</v>
      </c>
      <c r="H57" s="15" t="str">
        <f aca="false">IF(G57="NOT FOUND","",INDEX(Components!$C$2:$C$500,MATCH(F57,Components!$I$2:$I$500,0)))</f>
        <v>EA</v>
      </c>
      <c r="I57" s="26" t="n">
        <f aca="false">IF(G57="NOT FOUND","",IF(E57=H57,1,IFERROR(INDEX(Unit_Factor,MATCH(E57&amp;"&gt;"&amp;H57,Unit_Key,0)),"NO FACTOR")))</f>
        <v>1</v>
      </c>
      <c r="J57" s="27" t="n">
        <f aca="false">IF(ISNUMBER(I57),D57*I57,"")</f>
        <v>2</v>
      </c>
      <c r="K57" s="24" t="n">
        <f aca="false">IF(G57="NOT FOUND","",INDEX(Components!$J$2:$J$500,MATCH(F57,Components!$I$2:$I$500,0)))</f>
        <v>6.9</v>
      </c>
      <c r="L57" s="24" t="n">
        <f aca="false">IF(AND(ISNUMBER(J57),ISNUMBER(K57)),J57*K57,"")</f>
        <v>13.8</v>
      </c>
      <c r="M57" s="15" t="str">
        <f aca="false">IF(G57="NOT FOUND","",IF(INDEX(Components!$G$2:$G$500,MATCH(F57,Components!$I$2:$I$500,0))="","UNKNOWN",INDEX(Components!$G$2:$G$500,MATCH(F57,Components!$I$2:$I$500,0))))</f>
        <v>DE</v>
      </c>
      <c r="N57" s="15" t="str">
        <f aca="false">IF(M57="","",IF(M57="UNKNOWN","Unknown",IF(M57=Home_Country,"Domestic","Imported")))</f>
        <v>Imported</v>
      </c>
      <c r="O57" s="15" t="str">
        <f aca="false">IF(G57="NOT FOUND","",INDEX(Components!$F$2:$F$500,MATCH(F57,Components!$I$2:$I$500,0)))</f>
        <v>SUP-10</v>
      </c>
      <c r="P57" s="28" t="n">
        <f aca="false">SUMIFS(Sales!$G$2:$G$500,Sales!$I$2:$I$500,A57)</f>
        <v>91</v>
      </c>
      <c r="Q57" s="29" t="n">
        <f aca="false">IF(ISNUMBER(L57),L57*P57,"")</f>
        <v>1255.8</v>
      </c>
      <c r="R57" s="15" t="str">
        <f aca="false">IF(G57="NOT FOUND","Unknown component; ","")&amp;IF(I57="NO FACTOR","No unit conversion; ","")&amp;IF(AND(G57&lt;&gt;"NOT FOUND",K57=""),"Missing cost; ","")&amp;IF(M57="UNKNOWN","Missing origin; ","")</f>
        <v/>
      </c>
      <c r="S57" s="15" t="str">
        <f aca="false">IF(R57="","OK","CHECK")</f>
        <v>OK</v>
      </c>
    </row>
    <row r="58" customFormat="false" ht="15" hidden="false" customHeight="false" outlineLevel="0" collapsed="false">
      <c r="A58" s="12" t="s">
        <v>118</v>
      </c>
      <c r="B58" s="12" t="n">
        <v>90</v>
      </c>
      <c r="C58" s="12" t="s">
        <v>227</v>
      </c>
      <c r="D58" s="25" t="n">
        <v>0.5</v>
      </c>
      <c r="E58" s="12" t="s">
        <v>190</v>
      </c>
      <c r="F58" s="15" t="str">
        <f aca="false">UPPER(TRIM(C58))</f>
        <v>FRM-OIL</v>
      </c>
      <c r="G58" s="15" t="str">
        <f aca="false">IFERROR(INDEX(Components!$B$2:$B$500,MATCH(F58,Components!$I$2:$I$500,0)),"NOT FOUND")</f>
        <v>Form release agent</v>
      </c>
      <c r="H58" s="15" t="str">
        <f aca="false">IF(G58="NOT FOUND","",INDEX(Components!$C$2:$C$500,MATCH(F58,Components!$I$2:$I$500,0)))</f>
        <v>L</v>
      </c>
      <c r="I58" s="26" t="n">
        <f aca="false">IF(G58="NOT FOUND","",IF(E58=H58,1,IFERROR(INDEX(Unit_Factor,MATCH(E58&amp;"&gt;"&amp;H58,Unit_Key,0)),"NO FACTOR")))</f>
        <v>1</v>
      </c>
      <c r="J58" s="27" t="n">
        <f aca="false">IF(ISNUMBER(I58),D58*I58,"")</f>
        <v>0.5</v>
      </c>
      <c r="K58" s="24" t="n">
        <f aca="false">IF(G58="NOT FOUND","",INDEX(Components!$J$2:$J$500,MATCH(F58,Components!$I$2:$I$500,0)))</f>
        <v>1.15</v>
      </c>
      <c r="L58" s="24" t="n">
        <f aca="false">IF(AND(ISNUMBER(J58),ISNUMBER(K58)),J58*K58,"")</f>
        <v>0.575</v>
      </c>
      <c r="M58" s="15" t="str">
        <f aca="false">IF(G58="NOT FOUND","",IF(INDEX(Components!$G$2:$G$500,MATCH(F58,Components!$I$2:$I$500,0))="","UNKNOWN",INDEX(Components!$G$2:$G$500,MATCH(F58,Components!$I$2:$I$500,0))))</f>
        <v>CA</v>
      </c>
      <c r="N58" s="15" t="str">
        <f aca="false">IF(M58="","",IF(M58="UNKNOWN","Unknown",IF(M58=Home_Country,"Domestic","Imported")))</f>
        <v>Domestic</v>
      </c>
      <c r="O58" s="15" t="str">
        <f aca="false">IF(G58="NOT FOUND","",INDEX(Components!$F$2:$F$500,MATCH(F58,Components!$I$2:$I$500,0)))</f>
        <v>SUP-12</v>
      </c>
      <c r="P58" s="28" t="n">
        <f aca="false">SUMIFS(Sales!$G$2:$G$500,Sales!$I$2:$I$500,A58)</f>
        <v>91</v>
      </c>
      <c r="Q58" s="29" t="n">
        <f aca="false">IF(ISNUMBER(L58),L58*P58,"")</f>
        <v>52.325</v>
      </c>
      <c r="R58" s="15" t="str">
        <f aca="false">IF(G58="NOT FOUND","Unknown component; ","")&amp;IF(I58="NO FACTOR","No unit conversion; ","")&amp;IF(AND(G58&lt;&gt;"NOT FOUND",K58=""),"Missing cost; ","")&amp;IF(M58="UNKNOWN","Missing origin; ","")</f>
        <v/>
      </c>
      <c r="S58" s="15" t="str">
        <f aca="false">IF(R58="","OK","CHECK")</f>
        <v>OK</v>
      </c>
    </row>
    <row r="59" customFormat="false" ht="15" hidden="false" customHeight="false" outlineLevel="0" collapsed="false">
      <c r="A59" s="12" t="s">
        <v>120</v>
      </c>
      <c r="B59" s="12" t="n">
        <v>10</v>
      </c>
      <c r="C59" s="12" t="s">
        <v>176</v>
      </c>
      <c r="D59" s="25" t="n">
        <v>0.147</v>
      </c>
      <c r="E59" s="12" t="s">
        <v>66</v>
      </c>
      <c r="F59" s="15" t="str">
        <f aca="false">UPPER(TRIM(C59))</f>
        <v>CMT-GU</v>
      </c>
      <c r="G59" s="15" t="str">
        <f aca="false">IFERROR(INDEX(Components!$B$2:$B$500,MATCH(F59,Components!$I$2:$I$500,0)),"NOT FOUND")</f>
        <v>Portland cement Type GU</v>
      </c>
      <c r="H59" s="15" t="str">
        <f aca="false">IF(G59="NOT FOUND","",INDEX(Components!$C$2:$C$500,MATCH(F59,Components!$I$2:$I$500,0)))</f>
        <v>T</v>
      </c>
      <c r="I59" s="26" t="n">
        <f aca="false">IF(G59="NOT FOUND","",IF(E59=H59,1,IFERROR(INDEX(Unit_Factor,MATCH(E59&amp;"&gt;"&amp;H59,Unit_Key,0)),"NO FACTOR")))</f>
        <v>1</v>
      </c>
      <c r="J59" s="27" t="n">
        <f aca="false">IF(ISNUMBER(I59),D59*I59,"")</f>
        <v>0.147</v>
      </c>
      <c r="K59" s="24" t="n">
        <f aca="false">IF(G59="NOT FOUND","",INDEX(Components!$J$2:$J$500,MATCH(F59,Components!$I$2:$I$500,0)))</f>
        <v>235</v>
      </c>
      <c r="L59" s="24" t="n">
        <f aca="false">IF(AND(ISNUMBER(J59),ISNUMBER(K59)),J59*K59,"")</f>
        <v>34.545</v>
      </c>
      <c r="M59" s="15" t="str">
        <f aca="false">IF(G59="NOT FOUND","",IF(INDEX(Components!$G$2:$G$500,MATCH(F59,Components!$I$2:$I$500,0))="","UNKNOWN",INDEX(Components!$G$2:$G$500,MATCH(F59,Components!$I$2:$I$500,0))))</f>
        <v>CA</v>
      </c>
      <c r="N59" s="15" t="str">
        <f aca="false">IF(M59="","",IF(M59="UNKNOWN","Unknown",IF(M59=Home_Country,"Domestic","Imported")))</f>
        <v>Domestic</v>
      </c>
      <c r="O59" s="15" t="str">
        <f aca="false">IF(G59="NOT FOUND","",INDEX(Components!$F$2:$F$500,MATCH(F59,Components!$I$2:$I$500,0)))</f>
        <v>SUP-01</v>
      </c>
      <c r="P59" s="28" t="n">
        <f aca="false">SUMIFS(Sales!$G$2:$G$500,Sales!$I$2:$I$500,A59)</f>
        <v>90</v>
      </c>
      <c r="Q59" s="29" t="n">
        <f aca="false">IF(ISNUMBER(L59),L59*P59,"")</f>
        <v>3109.05</v>
      </c>
      <c r="R59" s="15" t="str">
        <f aca="false">IF(G59="NOT FOUND","Unknown component; ","")&amp;IF(I59="NO FACTOR","No unit conversion; ","")&amp;IF(AND(G59&lt;&gt;"NOT FOUND",K59=""),"Missing cost; ","")&amp;IF(M59="UNKNOWN","Missing origin; ","")</f>
        <v/>
      </c>
      <c r="S59" s="15" t="str">
        <f aca="false">IF(R59="","OK","CHECK")</f>
        <v>OK</v>
      </c>
    </row>
    <row r="60" customFormat="false" ht="15" hidden="false" customHeight="false" outlineLevel="0" collapsed="false">
      <c r="A60" s="12" t="s">
        <v>120</v>
      </c>
      <c r="B60" s="12" t="n">
        <v>20</v>
      </c>
      <c r="C60" s="12" t="s">
        <v>179</v>
      </c>
      <c r="D60" s="25" t="n">
        <v>0.0294</v>
      </c>
      <c r="E60" s="12" t="s">
        <v>66</v>
      </c>
      <c r="F60" s="15" t="str">
        <f aca="false">UPPER(TRIM(C60))</f>
        <v>SCM-FA</v>
      </c>
      <c r="G60" s="15" t="str">
        <f aca="false">IFERROR(INDEX(Components!$B$2:$B$500,MATCH(F60,Components!$I$2:$I$500,0)),"NOT FOUND")</f>
        <v>Fly ash Class F</v>
      </c>
      <c r="H60" s="15" t="str">
        <f aca="false">IF(G60="NOT FOUND","",INDEX(Components!$C$2:$C$500,MATCH(F60,Components!$I$2:$I$500,0)))</f>
        <v>T</v>
      </c>
      <c r="I60" s="26" t="n">
        <f aca="false">IF(G60="NOT FOUND","",IF(E60=H60,1,IFERROR(INDEX(Unit_Factor,MATCH(E60&amp;"&gt;"&amp;H60,Unit_Key,0)),"NO FACTOR")))</f>
        <v>1</v>
      </c>
      <c r="J60" s="27" t="n">
        <f aca="false">IF(ISNUMBER(I60),D60*I60,"")</f>
        <v>0.0294</v>
      </c>
      <c r="K60" s="24" t="n">
        <f aca="false">IF(G60="NOT FOUND","",INDEX(Components!$J$2:$J$500,MATCH(F60,Components!$I$2:$I$500,0)))</f>
        <v>98.64</v>
      </c>
      <c r="L60" s="24" t="n">
        <f aca="false">IF(AND(ISNUMBER(J60),ISNUMBER(K60)),J60*K60,"")</f>
        <v>2.900016</v>
      </c>
      <c r="M60" s="15" t="str">
        <f aca="false">IF(G60="NOT FOUND","",IF(INDEX(Components!$G$2:$G$500,MATCH(F60,Components!$I$2:$I$500,0))="","UNKNOWN",INDEX(Components!$G$2:$G$500,MATCH(F60,Components!$I$2:$I$500,0))))</f>
        <v>US</v>
      </c>
      <c r="N60" s="15" t="str">
        <f aca="false">IF(M60="","",IF(M60="UNKNOWN","Unknown",IF(M60=Home_Country,"Domestic","Imported")))</f>
        <v>Imported</v>
      </c>
      <c r="O60" s="15" t="str">
        <f aca="false">IF(G60="NOT FOUND","",INDEX(Components!$F$2:$F$500,MATCH(F60,Components!$I$2:$I$500,0)))</f>
        <v>SUP-02</v>
      </c>
      <c r="P60" s="28" t="n">
        <f aca="false">SUMIFS(Sales!$G$2:$G$500,Sales!$I$2:$I$500,A60)</f>
        <v>90</v>
      </c>
      <c r="Q60" s="29" t="n">
        <f aca="false">IF(ISNUMBER(L60),L60*P60,"")</f>
        <v>261.00144</v>
      </c>
      <c r="R60" s="15" t="str">
        <f aca="false">IF(G60="NOT FOUND","Unknown component; ","")&amp;IF(I60="NO FACTOR","No unit conversion; ","")&amp;IF(AND(G60&lt;&gt;"NOT FOUND",K60=""),"Missing cost; ","")&amp;IF(M60="UNKNOWN","Missing origin; ","")</f>
        <v/>
      </c>
      <c r="S60" s="15" t="str">
        <f aca="false">IF(R60="","OK","CHECK")</f>
        <v>OK</v>
      </c>
    </row>
    <row r="61" customFormat="false" ht="15" hidden="false" customHeight="false" outlineLevel="0" collapsed="false">
      <c r="A61" s="12" t="s">
        <v>120</v>
      </c>
      <c r="B61" s="12" t="n">
        <v>30</v>
      </c>
      <c r="C61" s="12" t="s">
        <v>182</v>
      </c>
      <c r="D61" s="25" t="n">
        <v>0.441</v>
      </c>
      <c r="E61" s="12" t="s">
        <v>66</v>
      </c>
      <c r="F61" s="15" t="str">
        <f aca="false">UPPER(TRIM(C61))</f>
        <v>AGG-20</v>
      </c>
      <c r="G61" s="15" t="str">
        <f aca="false">IFERROR(INDEX(Components!$B$2:$B$500,MATCH(F61,Components!$I$2:$I$500,0)),"NOT FOUND")</f>
        <v>Coarse aggregate 20 mm</v>
      </c>
      <c r="H61" s="15" t="str">
        <f aca="false">IF(G61="NOT FOUND","",INDEX(Components!$C$2:$C$500,MATCH(F61,Components!$I$2:$I$500,0)))</f>
        <v>T</v>
      </c>
      <c r="I61" s="26" t="n">
        <f aca="false">IF(G61="NOT FOUND","",IF(E61=H61,1,IFERROR(INDEX(Unit_Factor,MATCH(E61&amp;"&gt;"&amp;H61,Unit_Key,0)),"NO FACTOR")))</f>
        <v>1</v>
      </c>
      <c r="J61" s="27" t="n">
        <f aca="false">IF(ISNUMBER(I61),D61*I61,"")</f>
        <v>0.441</v>
      </c>
      <c r="K61" s="24" t="n">
        <f aca="false">IF(G61="NOT FOUND","",INDEX(Components!$J$2:$J$500,MATCH(F61,Components!$I$2:$I$500,0)))</f>
        <v>28</v>
      </c>
      <c r="L61" s="24" t="n">
        <f aca="false">IF(AND(ISNUMBER(J61),ISNUMBER(K61)),J61*K61,"")</f>
        <v>12.348</v>
      </c>
      <c r="M61" s="15" t="str">
        <f aca="false">IF(G61="NOT FOUND","",IF(INDEX(Components!$G$2:$G$500,MATCH(F61,Components!$I$2:$I$500,0))="","UNKNOWN",INDEX(Components!$G$2:$G$500,MATCH(F61,Components!$I$2:$I$500,0))))</f>
        <v>CA</v>
      </c>
      <c r="N61" s="15" t="str">
        <f aca="false">IF(M61="","",IF(M61="UNKNOWN","Unknown",IF(M61=Home_Country,"Domestic","Imported")))</f>
        <v>Domestic</v>
      </c>
      <c r="O61" s="15" t="str">
        <f aca="false">IF(G61="NOT FOUND","",INDEX(Components!$F$2:$F$500,MATCH(F61,Components!$I$2:$I$500,0)))</f>
        <v>SUP-03</v>
      </c>
      <c r="P61" s="28" t="n">
        <f aca="false">SUMIFS(Sales!$G$2:$G$500,Sales!$I$2:$I$500,A61)</f>
        <v>90</v>
      </c>
      <c r="Q61" s="29" t="n">
        <f aca="false">IF(ISNUMBER(L61),L61*P61,"")</f>
        <v>1111.32</v>
      </c>
      <c r="R61" s="15" t="str">
        <f aca="false">IF(G61="NOT FOUND","Unknown component; ","")&amp;IF(I61="NO FACTOR","No unit conversion; ","")&amp;IF(AND(G61&lt;&gt;"NOT FOUND",K61=""),"Missing cost; ","")&amp;IF(M61="UNKNOWN","Missing origin; ","")</f>
        <v/>
      </c>
      <c r="S61" s="15" t="str">
        <f aca="false">IF(R61="","OK","CHECK")</f>
        <v>OK</v>
      </c>
    </row>
    <row r="62" customFormat="false" ht="15" hidden="false" customHeight="false" outlineLevel="0" collapsed="false">
      <c r="A62" s="12" t="s">
        <v>120</v>
      </c>
      <c r="B62" s="12" t="n">
        <v>40</v>
      </c>
      <c r="C62" s="12" t="s">
        <v>185</v>
      </c>
      <c r="D62" s="25" t="n">
        <v>0.315</v>
      </c>
      <c r="E62" s="12" t="s">
        <v>66</v>
      </c>
      <c r="F62" s="15" t="str">
        <f aca="false">UPPER(TRIM(C62))</f>
        <v>AGG-SND</v>
      </c>
      <c r="G62" s="15" t="str">
        <f aca="false">IFERROR(INDEX(Components!$B$2:$B$500,MATCH(F62,Components!$I$2:$I$500,0)),"NOT FOUND")</f>
        <v>Concrete sand</v>
      </c>
      <c r="H62" s="15" t="str">
        <f aca="false">IF(G62="NOT FOUND","",INDEX(Components!$C$2:$C$500,MATCH(F62,Components!$I$2:$I$500,0)))</f>
        <v>T</v>
      </c>
      <c r="I62" s="26" t="n">
        <f aca="false">IF(G62="NOT FOUND","",IF(E62=H62,1,IFERROR(INDEX(Unit_Factor,MATCH(E62&amp;"&gt;"&amp;H62,Unit_Key,0)),"NO FACTOR")))</f>
        <v>1</v>
      </c>
      <c r="J62" s="27" t="n">
        <f aca="false">IF(ISNUMBER(I62),D62*I62,"")</f>
        <v>0.315</v>
      </c>
      <c r="K62" s="24" t="n">
        <f aca="false">IF(G62="NOT FOUND","",INDEX(Components!$J$2:$J$500,MATCH(F62,Components!$I$2:$I$500,0)))</f>
        <v>24</v>
      </c>
      <c r="L62" s="24" t="n">
        <f aca="false">IF(AND(ISNUMBER(J62),ISNUMBER(K62)),J62*K62,"")</f>
        <v>7.56</v>
      </c>
      <c r="M62" s="15" t="str">
        <f aca="false">IF(G62="NOT FOUND","",IF(INDEX(Components!$G$2:$G$500,MATCH(F62,Components!$I$2:$I$500,0))="","UNKNOWN",INDEX(Components!$G$2:$G$500,MATCH(F62,Components!$I$2:$I$500,0))))</f>
        <v>CA</v>
      </c>
      <c r="N62" s="15" t="str">
        <f aca="false">IF(M62="","",IF(M62="UNKNOWN","Unknown",IF(M62=Home_Country,"Domestic","Imported")))</f>
        <v>Domestic</v>
      </c>
      <c r="O62" s="15" t="str">
        <f aca="false">IF(G62="NOT FOUND","",INDEX(Components!$F$2:$F$500,MATCH(F62,Components!$I$2:$I$500,0)))</f>
        <v>SUP-03</v>
      </c>
      <c r="P62" s="28" t="n">
        <f aca="false">SUMIFS(Sales!$G$2:$G$500,Sales!$I$2:$I$500,A62)</f>
        <v>90</v>
      </c>
      <c r="Q62" s="29" t="n">
        <f aca="false">IF(ISNUMBER(L62),L62*P62,"")</f>
        <v>680.4</v>
      </c>
      <c r="R62" s="15" t="str">
        <f aca="false">IF(G62="NOT FOUND","Unknown component; ","")&amp;IF(I62="NO FACTOR","No unit conversion; ","")&amp;IF(AND(G62&lt;&gt;"NOT FOUND",K62=""),"Missing cost; ","")&amp;IF(M62="UNKNOWN","Missing origin; ","")</f>
        <v/>
      </c>
      <c r="S62" s="15" t="str">
        <f aca="false">IF(R62="","OK","CHECK")</f>
        <v>OK</v>
      </c>
    </row>
    <row r="63" customFormat="false" ht="15" hidden="false" customHeight="false" outlineLevel="0" collapsed="false">
      <c r="A63" s="12" t="s">
        <v>120</v>
      </c>
      <c r="B63" s="12" t="n">
        <v>50</v>
      </c>
      <c r="C63" s="12" t="s">
        <v>188</v>
      </c>
      <c r="D63" s="25" t="n">
        <v>0.84</v>
      </c>
      <c r="E63" s="12" t="s">
        <v>190</v>
      </c>
      <c r="F63" s="15" t="str">
        <f aca="false">UPPER(TRIM(C63))</f>
        <v>ADM-SP</v>
      </c>
      <c r="G63" s="15" t="str">
        <f aca="false">IFERROR(INDEX(Components!$B$2:$B$500,MATCH(F63,Components!$I$2:$I$500,0)),"NOT FOUND")</f>
        <v>Superplasticizer admixture</v>
      </c>
      <c r="H63" s="15" t="str">
        <f aca="false">IF(G63="NOT FOUND","",INDEX(Components!$C$2:$C$500,MATCH(F63,Components!$I$2:$I$500,0)))</f>
        <v>L</v>
      </c>
      <c r="I63" s="26" t="n">
        <f aca="false">IF(G63="NOT FOUND","",IF(E63=H63,1,IFERROR(INDEX(Unit_Factor,MATCH(E63&amp;"&gt;"&amp;H63,Unit_Key,0)),"NO FACTOR")))</f>
        <v>1</v>
      </c>
      <c r="J63" s="27" t="n">
        <f aca="false">IF(ISNUMBER(I63),D63*I63,"")</f>
        <v>0.84</v>
      </c>
      <c r="K63" s="24" t="n">
        <f aca="false">IF(G63="NOT FOUND","",INDEX(Components!$J$2:$J$500,MATCH(F63,Components!$I$2:$I$500,0)))</f>
        <v>4.247</v>
      </c>
      <c r="L63" s="24" t="n">
        <f aca="false">IF(AND(ISNUMBER(J63),ISNUMBER(K63)),J63*K63,"")</f>
        <v>3.56748</v>
      </c>
      <c r="M63" s="15" t="str">
        <f aca="false">IF(G63="NOT FOUND","",IF(INDEX(Components!$G$2:$G$500,MATCH(F63,Components!$I$2:$I$500,0))="","UNKNOWN",INDEX(Components!$G$2:$G$500,MATCH(F63,Components!$I$2:$I$500,0))))</f>
        <v>US</v>
      </c>
      <c r="N63" s="15" t="str">
        <f aca="false">IF(M63="","",IF(M63="UNKNOWN","Unknown",IF(M63=Home_Country,"Domestic","Imported")))</f>
        <v>Imported</v>
      </c>
      <c r="O63" s="15" t="str">
        <f aca="false">IF(G63="NOT FOUND","",INDEX(Components!$F$2:$F$500,MATCH(F63,Components!$I$2:$I$500,0)))</f>
        <v>SUP-04</v>
      </c>
      <c r="P63" s="28" t="n">
        <f aca="false">SUMIFS(Sales!$G$2:$G$500,Sales!$I$2:$I$500,A63)</f>
        <v>90</v>
      </c>
      <c r="Q63" s="29" t="n">
        <f aca="false">IF(ISNUMBER(L63),L63*P63,"")</f>
        <v>321.0732</v>
      </c>
      <c r="R63" s="15" t="str">
        <f aca="false">IF(G63="NOT FOUND","Unknown component; ","")&amp;IF(I63="NO FACTOR","No unit conversion; ","")&amp;IF(AND(G63&lt;&gt;"NOT FOUND",K63=""),"Missing cost; ","")&amp;IF(M63="UNKNOWN","Missing origin; ","")</f>
        <v/>
      </c>
      <c r="S63" s="15" t="str">
        <f aca="false">IF(R63="","OK","CHECK")</f>
        <v>OK</v>
      </c>
    </row>
    <row r="64" customFormat="false" ht="15" hidden="false" customHeight="false" outlineLevel="0" collapsed="false">
      <c r="A64" s="12" t="s">
        <v>120</v>
      </c>
      <c r="B64" s="12" t="n">
        <v>60</v>
      </c>
      <c r="C64" s="12" t="s">
        <v>192</v>
      </c>
      <c r="D64" s="25" t="n">
        <v>0.168</v>
      </c>
      <c r="E64" s="12" t="s">
        <v>190</v>
      </c>
      <c r="F64" s="15" t="str">
        <f aca="false">UPPER(TRIM(C64))</f>
        <v>ADM-AE</v>
      </c>
      <c r="G64" s="15" t="str">
        <f aca="false">IFERROR(INDEX(Components!$B$2:$B$500,MATCH(F64,Components!$I$2:$I$500,0)),"NOT FOUND")</f>
        <v>Air-entraining admixture</v>
      </c>
      <c r="H64" s="15" t="str">
        <f aca="false">IF(G64="NOT FOUND","",INDEX(Components!$C$2:$C$500,MATCH(F64,Components!$I$2:$I$500,0)))</f>
        <v>L</v>
      </c>
      <c r="I64" s="26" t="n">
        <f aca="false">IF(G64="NOT FOUND","",IF(E64=H64,1,IFERROR(INDEX(Unit_Factor,MATCH(E64&amp;"&gt;"&amp;H64,Unit_Key,0)),"NO FACTOR")))</f>
        <v>1</v>
      </c>
      <c r="J64" s="27" t="n">
        <f aca="false">IF(ISNUMBER(I64),D64*I64,"")</f>
        <v>0.168</v>
      </c>
      <c r="K64" s="24" t="n">
        <f aca="false">IF(G64="NOT FOUND","",INDEX(Components!$J$2:$J$500,MATCH(F64,Components!$I$2:$I$500,0)))</f>
        <v>3.288</v>
      </c>
      <c r="L64" s="24" t="n">
        <f aca="false">IF(AND(ISNUMBER(J64),ISNUMBER(K64)),J64*K64,"")</f>
        <v>0.552384</v>
      </c>
      <c r="M64" s="15" t="str">
        <f aca="false">IF(G64="NOT FOUND","",IF(INDEX(Components!$G$2:$G$500,MATCH(F64,Components!$I$2:$I$500,0))="","UNKNOWN",INDEX(Components!$G$2:$G$500,MATCH(F64,Components!$I$2:$I$500,0))))</f>
        <v>US</v>
      </c>
      <c r="N64" s="15" t="str">
        <f aca="false">IF(M64="","",IF(M64="UNKNOWN","Unknown",IF(M64=Home_Country,"Domestic","Imported")))</f>
        <v>Imported</v>
      </c>
      <c r="O64" s="15" t="str">
        <f aca="false">IF(G64="NOT FOUND","",INDEX(Components!$F$2:$F$500,MATCH(F64,Components!$I$2:$I$500,0)))</f>
        <v>SUP-04</v>
      </c>
      <c r="P64" s="28" t="n">
        <f aca="false">SUMIFS(Sales!$G$2:$G$500,Sales!$I$2:$I$500,A64)</f>
        <v>90</v>
      </c>
      <c r="Q64" s="29" t="n">
        <f aca="false">IF(ISNUMBER(L64),L64*P64,"")</f>
        <v>49.71456</v>
      </c>
      <c r="R64" s="15" t="str">
        <f aca="false">IF(G64="NOT FOUND","Unknown component; ","")&amp;IF(I64="NO FACTOR","No unit conversion; ","")&amp;IF(AND(G64&lt;&gt;"NOT FOUND",K64=""),"Missing cost; ","")&amp;IF(M64="UNKNOWN","Missing origin; ","")</f>
        <v/>
      </c>
      <c r="S64" s="15" t="str">
        <f aca="false">IF(R64="","OK","CHECK")</f>
        <v>OK</v>
      </c>
    </row>
    <row r="65" customFormat="false" ht="15" hidden="false" customHeight="false" outlineLevel="0" collapsed="false">
      <c r="A65" s="12" t="s">
        <v>120</v>
      </c>
      <c r="B65" s="12" t="n">
        <v>70</v>
      </c>
      <c r="C65" s="12" t="s">
        <v>202</v>
      </c>
      <c r="D65" s="25" t="n">
        <v>3.2</v>
      </c>
      <c r="E65" s="12" t="s">
        <v>134</v>
      </c>
      <c r="F65" s="15" t="str">
        <f aca="false">UPPER(TRIM(C65))</f>
        <v>WWM-152</v>
      </c>
      <c r="G65" s="15" t="str">
        <f aca="false">IFERROR(INDEX(Components!$B$2:$B$500,MATCH(F65,Components!$I$2:$I$500,0)),"NOT FOUND")</f>
        <v>Welded wire mesh 152x152 MW25.8</v>
      </c>
      <c r="H65" s="15" t="str">
        <f aca="false">IF(G65="NOT FOUND","",INDEX(Components!$C$2:$C$500,MATCH(F65,Components!$I$2:$I$500,0)))</f>
        <v>M2</v>
      </c>
      <c r="I65" s="26" t="n">
        <f aca="false">IF(G65="NOT FOUND","",IF(E65=H65,1,IFERROR(INDEX(Unit_Factor,MATCH(E65&amp;"&gt;"&amp;H65,Unit_Key,0)),"NO FACTOR")))</f>
        <v>1</v>
      </c>
      <c r="J65" s="27" t="n">
        <f aca="false">IF(ISNUMBER(I65),D65*I65,"")</f>
        <v>3.2</v>
      </c>
      <c r="K65" s="24" t="n">
        <f aca="false">IF(G65="NOT FOUND","",INDEX(Components!$J$2:$J$500,MATCH(F65,Components!$I$2:$I$500,0)))</f>
        <v>6.302</v>
      </c>
      <c r="L65" s="24" t="n">
        <f aca="false">IF(AND(ISNUMBER(J65),ISNUMBER(K65)),J65*K65,"")</f>
        <v>20.1664</v>
      </c>
      <c r="M65" s="15" t="str">
        <f aca="false">IF(G65="NOT FOUND","",IF(INDEX(Components!$G$2:$G$500,MATCH(F65,Components!$I$2:$I$500,0))="","UNKNOWN",INDEX(Components!$G$2:$G$500,MATCH(F65,Components!$I$2:$I$500,0))))</f>
        <v>US</v>
      </c>
      <c r="N65" s="15" t="str">
        <f aca="false">IF(M65="","",IF(M65="UNKNOWN","Unknown",IF(M65=Home_Country,"Domestic","Imported")))</f>
        <v>Imported</v>
      </c>
      <c r="O65" s="15" t="str">
        <f aca="false">IF(G65="NOT FOUND","",INDEX(Components!$F$2:$F$500,MATCH(F65,Components!$I$2:$I$500,0)))</f>
        <v>SUP-07</v>
      </c>
      <c r="P65" s="28" t="n">
        <f aca="false">SUMIFS(Sales!$G$2:$G$500,Sales!$I$2:$I$500,A65)</f>
        <v>90</v>
      </c>
      <c r="Q65" s="29" t="n">
        <f aca="false">IF(ISNUMBER(L65),L65*P65,"")</f>
        <v>1814.976</v>
      </c>
      <c r="R65" s="15" t="str">
        <f aca="false">IF(G65="NOT FOUND","Unknown component; ","")&amp;IF(I65="NO FACTOR","No unit conversion; ","")&amp;IF(AND(G65&lt;&gt;"NOT FOUND",K65=""),"Missing cost; ","")&amp;IF(M65="UNKNOWN","Missing origin; ","")</f>
        <v/>
      </c>
      <c r="S65" s="15" t="str">
        <f aca="false">IF(R65="","OK","CHECK")</f>
        <v>OK</v>
      </c>
    </row>
    <row r="66" customFormat="false" ht="15" hidden="false" customHeight="false" outlineLevel="0" collapsed="false">
      <c r="A66" s="12" t="s">
        <v>120</v>
      </c>
      <c r="B66" s="12" t="n">
        <v>80</v>
      </c>
      <c r="C66" s="12" t="s">
        <v>223</v>
      </c>
      <c r="D66" s="25" t="n">
        <v>3.8</v>
      </c>
      <c r="E66" s="12" t="s">
        <v>225</v>
      </c>
      <c r="F66" s="15" t="str">
        <f aca="false">UPPER(TRIM(C66))</f>
        <v>SEAL-BUT</v>
      </c>
      <c r="G66" s="15" t="str">
        <f aca="false">IFERROR(INDEX(Components!$B$2:$B$500,MATCH(F66,Components!$I$2:$I$500,0)),"NOT FOUND")</f>
        <v>Butyl joint sealant</v>
      </c>
      <c r="H66" s="15" t="str">
        <f aca="false">IF(G66="NOT FOUND","",INDEX(Components!$C$2:$C$500,MATCH(F66,Components!$I$2:$I$500,0)))</f>
        <v>M</v>
      </c>
      <c r="I66" s="26" t="n">
        <f aca="false">IF(G66="NOT FOUND","",IF(E66=H66,1,IFERROR(INDEX(Unit_Factor,MATCH(E66&amp;"&gt;"&amp;H66,Unit_Key,0)),"NO FACTOR")))</f>
        <v>1</v>
      </c>
      <c r="J66" s="27" t="n">
        <f aca="false">IF(ISNUMBER(I66),D66*I66,"")</f>
        <v>3.8</v>
      </c>
      <c r="K66" s="24" t="str">
        <f aca="false">IF(G66="NOT FOUND","",INDEX(Components!$J$2:$J$500,MATCH(F66,Components!$I$2:$I$500,0)))</f>
        <v/>
      </c>
      <c r="L66" s="24" t="str">
        <f aca="false">IF(AND(ISNUMBER(J66),ISNUMBER(K66)),J66*K66,"")</f>
        <v/>
      </c>
      <c r="M66" s="15" t="str">
        <f aca="false">IF(G66="NOT FOUND","",IF(INDEX(Components!$G$2:$G$500,MATCH(F66,Components!$I$2:$I$500,0))="","UNKNOWN",INDEX(Components!$G$2:$G$500,MATCH(F66,Components!$I$2:$I$500,0))))</f>
        <v>CA</v>
      </c>
      <c r="N66" s="15" t="str">
        <f aca="false">IF(M66="","",IF(M66="UNKNOWN","Unknown",IF(M66=Home_Country,"Domestic","Imported")))</f>
        <v>Domestic</v>
      </c>
      <c r="O66" s="15" t="str">
        <f aca="false">IF(G66="NOT FOUND","",INDEX(Components!$F$2:$F$500,MATCH(F66,Components!$I$2:$I$500,0)))</f>
        <v>SUP-12</v>
      </c>
      <c r="P66" s="28" t="n">
        <f aca="false">SUMIFS(Sales!$G$2:$G$500,Sales!$I$2:$I$500,A66)</f>
        <v>90</v>
      </c>
      <c r="Q66" s="29" t="str">
        <f aca="false">IF(ISNUMBER(L66),L66*P66,"")</f>
        <v/>
      </c>
      <c r="R66" s="15" t="str">
        <f aca="false">IF(G66="NOT FOUND","Unknown component; ","")&amp;IF(I66="NO FACTOR","No unit conversion; ","")&amp;IF(AND(G66&lt;&gt;"NOT FOUND",K66=""),"Missing cost; ","")&amp;IF(M66="UNKNOWN","Missing origin; ","")</f>
        <v>Missing cost; </v>
      </c>
      <c r="S66" s="15" t="str">
        <f aca="false">IF(R66="","OK","CHECK")</f>
        <v>CHECK</v>
      </c>
    </row>
    <row r="67" customFormat="false" ht="15" hidden="false" customHeight="false" outlineLevel="0" collapsed="false">
      <c r="A67" s="12" t="s">
        <v>120</v>
      </c>
      <c r="B67" s="12" t="n">
        <v>90</v>
      </c>
      <c r="C67" s="12" t="s">
        <v>227</v>
      </c>
      <c r="D67" s="25" t="n">
        <v>0.3</v>
      </c>
      <c r="E67" s="12" t="s">
        <v>190</v>
      </c>
      <c r="F67" s="15" t="str">
        <f aca="false">UPPER(TRIM(C67))</f>
        <v>FRM-OIL</v>
      </c>
      <c r="G67" s="15" t="str">
        <f aca="false">IFERROR(INDEX(Components!$B$2:$B$500,MATCH(F67,Components!$I$2:$I$500,0)),"NOT FOUND")</f>
        <v>Form release agent</v>
      </c>
      <c r="H67" s="15" t="str">
        <f aca="false">IF(G67="NOT FOUND","",INDEX(Components!$C$2:$C$500,MATCH(F67,Components!$I$2:$I$500,0)))</f>
        <v>L</v>
      </c>
      <c r="I67" s="26" t="n">
        <f aca="false">IF(G67="NOT FOUND","",IF(E67=H67,1,IFERROR(INDEX(Unit_Factor,MATCH(E67&amp;"&gt;"&amp;H67,Unit_Key,0)),"NO FACTOR")))</f>
        <v>1</v>
      </c>
      <c r="J67" s="27" t="n">
        <f aca="false">IF(ISNUMBER(I67),D67*I67,"")</f>
        <v>0.3</v>
      </c>
      <c r="K67" s="24" t="n">
        <f aca="false">IF(G67="NOT FOUND","",INDEX(Components!$J$2:$J$500,MATCH(F67,Components!$I$2:$I$500,0)))</f>
        <v>1.15</v>
      </c>
      <c r="L67" s="24" t="n">
        <f aca="false">IF(AND(ISNUMBER(J67),ISNUMBER(K67)),J67*K67,"")</f>
        <v>0.345</v>
      </c>
      <c r="M67" s="15" t="str">
        <f aca="false">IF(G67="NOT FOUND","",IF(INDEX(Components!$G$2:$G$500,MATCH(F67,Components!$I$2:$I$500,0))="","UNKNOWN",INDEX(Components!$G$2:$G$500,MATCH(F67,Components!$I$2:$I$500,0))))</f>
        <v>CA</v>
      </c>
      <c r="N67" s="15" t="str">
        <f aca="false">IF(M67="","",IF(M67="UNKNOWN","Unknown",IF(M67=Home_Country,"Domestic","Imported")))</f>
        <v>Domestic</v>
      </c>
      <c r="O67" s="15" t="str">
        <f aca="false">IF(G67="NOT FOUND","",INDEX(Components!$F$2:$F$500,MATCH(F67,Components!$I$2:$I$500,0)))</f>
        <v>SUP-12</v>
      </c>
      <c r="P67" s="28" t="n">
        <f aca="false">SUMIFS(Sales!$G$2:$G$500,Sales!$I$2:$I$500,A67)</f>
        <v>90</v>
      </c>
      <c r="Q67" s="29" t="n">
        <f aca="false">IF(ISNUMBER(L67),L67*P67,"")</f>
        <v>31.05</v>
      </c>
      <c r="R67" s="15" t="str">
        <f aca="false">IF(G67="NOT FOUND","Unknown component; ","")&amp;IF(I67="NO FACTOR","No unit conversion; ","")&amp;IF(AND(G67&lt;&gt;"NOT FOUND",K67=""),"Missing cost; ","")&amp;IF(M67="UNKNOWN","Missing origin; ","")</f>
        <v/>
      </c>
      <c r="S67" s="15" t="str">
        <f aca="false">IF(R67="","OK","CHECK")</f>
        <v>OK</v>
      </c>
    </row>
    <row r="68" customFormat="false" ht="15" hidden="false" customHeight="false" outlineLevel="0" collapsed="false">
      <c r="A68" s="12" t="s">
        <v>122</v>
      </c>
      <c r="B68" s="12" t="n">
        <v>10</v>
      </c>
      <c r="C68" s="12" t="s">
        <v>176</v>
      </c>
      <c r="D68" s="25" t="n">
        <v>0.1575</v>
      </c>
      <c r="E68" s="12" t="s">
        <v>66</v>
      </c>
      <c r="F68" s="15" t="str">
        <f aca="false">UPPER(TRIM(C68))</f>
        <v>CMT-GU</v>
      </c>
      <c r="G68" s="15" t="str">
        <f aca="false">IFERROR(INDEX(Components!$B$2:$B$500,MATCH(F68,Components!$I$2:$I$500,0)),"NOT FOUND")</f>
        <v>Portland cement Type GU</v>
      </c>
      <c r="H68" s="15" t="str">
        <f aca="false">IF(G68="NOT FOUND","",INDEX(Components!$C$2:$C$500,MATCH(F68,Components!$I$2:$I$500,0)))</f>
        <v>T</v>
      </c>
      <c r="I68" s="26" t="n">
        <f aca="false">IF(G68="NOT FOUND","",IF(E68=H68,1,IFERROR(INDEX(Unit_Factor,MATCH(E68&amp;"&gt;"&amp;H68,Unit_Key,0)),"NO FACTOR")))</f>
        <v>1</v>
      </c>
      <c r="J68" s="27" t="n">
        <f aca="false">IF(ISNUMBER(I68),D68*I68,"")</f>
        <v>0.1575</v>
      </c>
      <c r="K68" s="24" t="n">
        <f aca="false">IF(G68="NOT FOUND","",INDEX(Components!$J$2:$J$500,MATCH(F68,Components!$I$2:$I$500,0)))</f>
        <v>235</v>
      </c>
      <c r="L68" s="24" t="n">
        <f aca="false">IF(AND(ISNUMBER(J68),ISNUMBER(K68)),J68*K68,"")</f>
        <v>37.0125</v>
      </c>
      <c r="M68" s="15" t="str">
        <f aca="false">IF(G68="NOT FOUND","",IF(INDEX(Components!$G$2:$G$500,MATCH(F68,Components!$I$2:$I$500,0))="","UNKNOWN",INDEX(Components!$G$2:$G$500,MATCH(F68,Components!$I$2:$I$500,0))))</f>
        <v>CA</v>
      </c>
      <c r="N68" s="15" t="str">
        <f aca="false">IF(M68="","",IF(M68="UNKNOWN","Unknown",IF(M68=Home_Country,"Domestic","Imported")))</f>
        <v>Domestic</v>
      </c>
      <c r="O68" s="15" t="str">
        <f aca="false">IF(G68="NOT FOUND","",INDEX(Components!$F$2:$F$500,MATCH(F68,Components!$I$2:$I$500,0)))</f>
        <v>SUP-01</v>
      </c>
      <c r="P68" s="28" t="n">
        <f aca="false">SUMIFS(Sales!$G$2:$G$500,Sales!$I$2:$I$500,A68)</f>
        <v>172</v>
      </c>
      <c r="Q68" s="29" t="n">
        <f aca="false">IF(ISNUMBER(L68),L68*P68,"")</f>
        <v>6366.15</v>
      </c>
      <c r="R68" s="15" t="str">
        <f aca="false">IF(G68="NOT FOUND","Unknown component; ","")&amp;IF(I68="NO FACTOR","No unit conversion; ","")&amp;IF(AND(G68&lt;&gt;"NOT FOUND",K68=""),"Missing cost; ","")&amp;IF(M68="UNKNOWN","Missing origin; ","")</f>
        <v/>
      </c>
      <c r="S68" s="15" t="str">
        <f aca="false">IF(R68="","OK","CHECK")</f>
        <v>OK</v>
      </c>
    </row>
    <row r="69" customFormat="false" ht="15" hidden="false" customHeight="false" outlineLevel="0" collapsed="false">
      <c r="A69" s="12" t="s">
        <v>122</v>
      </c>
      <c r="B69" s="12" t="n">
        <v>20</v>
      </c>
      <c r="C69" s="12" t="s">
        <v>179</v>
      </c>
      <c r="D69" s="25" t="n">
        <v>0.0315</v>
      </c>
      <c r="E69" s="12" t="s">
        <v>66</v>
      </c>
      <c r="F69" s="15" t="str">
        <f aca="false">UPPER(TRIM(C69))</f>
        <v>SCM-FA</v>
      </c>
      <c r="G69" s="15" t="str">
        <f aca="false">IFERROR(INDEX(Components!$B$2:$B$500,MATCH(F69,Components!$I$2:$I$500,0)),"NOT FOUND")</f>
        <v>Fly ash Class F</v>
      </c>
      <c r="H69" s="15" t="str">
        <f aca="false">IF(G69="NOT FOUND","",INDEX(Components!$C$2:$C$500,MATCH(F69,Components!$I$2:$I$500,0)))</f>
        <v>T</v>
      </c>
      <c r="I69" s="26" t="n">
        <f aca="false">IF(G69="NOT FOUND","",IF(E69=H69,1,IFERROR(INDEX(Unit_Factor,MATCH(E69&amp;"&gt;"&amp;H69,Unit_Key,0)),"NO FACTOR")))</f>
        <v>1</v>
      </c>
      <c r="J69" s="27" t="n">
        <f aca="false">IF(ISNUMBER(I69),D69*I69,"")</f>
        <v>0.0315</v>
      </c>
      <c r="K69" s="24" t="n">
        <f aca="false">IF(G69="NOT FOUND","",INDEX(Components!$J$2:$J$500,MATCH(F69,Components!$I$2:$I$500,0)))</f>
        <v>98.64</v>
      </c>
      <c r="L69" s="24" t="n">
        <f aca="false">IF(AND(ISNUMBER(J69),ISNUMBER(K69)),J69*K69,"")</f>
        <v>3.10716</v>
      </c>
      <c r="M69" s="15" t="str">
        <f aca="false">IF(G69="NOT FOUND","",IF(INDEX(Components!$G$2:$G$500,MATCH(F69,Components!$I$2:$I$500,0))="","UNKNOWN",INDEX(Components!$G$2:$G$500,MATCH(F69,Components!$I$2:$I$500,0))))</f>
        <v>US</v>
      </c>
      <c r="N69" s="15" t="str">
        <f aca="false">IF(M69="","",IF(M69="UNKNOWN","Unknown",IF(M69=Home_Country,"Domestic","Imported")))</f>
        <v>Imported</v>
      </c>
      <c r="O69" s="15" t="str">
        <f aca="false">IF(G69="NOT FOUND","",INDEX(Components!$F$2:$F$500,MATCH(F69,Components!$I$2:$I$500,0)))</f>
        <v>SUP-02</v>
      </c>
      <c r="P69" s="28" t="n">
        <f aca="false">SUMIFS(Sales!$G$2:$G$500,Sales!$I$2:$I$500,A69)</f>
        <v>172</v>
      </c>
      <c r="Q69" s="29" t="n">
        <f aca="false">IF(ISNUMBER(L69),L69*P69,"")</f>
        <v>534.43152</v>
      </c>
      <c r="R69" s="15" t="str">
        <f aca="false">IF(G69="NOT FOUND","Unknown component; ","")&amp;IF(I69="NO FACTOR","No unit conversion; ","")&amp;IF(AND(G69&lt;&gt;"NOT FOUND",K69=""),"Missing cost; ","")&amp;IF(M69="UNKNOWN","Missing origin; ","")</f>
        <v/>
      </c>
      <c r="S69" s="15" t="str">
        <f aca="false">IF(R69="","OK","CHECK")</f>
        <v>OK</v>
      </c>
    </row>
    <row r="70" customFormat="false" ht="15" hidden="false" customHeight="false" outlineLevel="0" collapsed="false">
      <c r="A70" s="12" t="s">
        <v>122</v>
      </c>
      <c r="B70" s="12" t="n">
        <v>30</v>
      </c>
      <c r="C70" s="12" t="s">
        <v>182</v>
      </c>
      <c r="D70" s="25" t="n">
        <v>0.4725</v>
      </c>
      <c r="E70" s="12" t="s">
        <v>66</v>
      </c>
      <c r="F70" s="15" t="str">
        <f aca="false">UPPER(TRIM(C70))</f>
        <v>AGG-20</v>
      </c>
      <c r="G70" s="15" t="str">
        <f aca="false">IFERROR(INDEX(Components!$B$2:$B$500,MATCH(F70,Components!$I$2:$I$500,0)),"NOT FOUND")</f>
        <v>Coarse aggregate 20 mm</v>
      </c>
      <c r="H70" s="15" t="str">
        <f aca="false">IF(G70="NOT FOUND","",INDEX(Components!$C$2:$C$500,MATCH(F70,Components!$I$2:$I$500,0)))</f>
        <v>T</v>
      </c>
      <c r="I70" s="26" t="n">
        <f aca="false">IF(G70="NOT FOUND","",IF(E70=H70,1,IFERROR(INDEX(Unit_Factor,MATCH(E70&amp;"&gt;"&amp;H70,Unit_Key,0)),"NO FACTOR")))</f>
        <v>1</v>
      </c>
      <c r="J70" s="27" t="n">
        <f aca="false">IF(ISNUMBER(I70),D70*I70,"")</f>
        <v>0.4725</v>
      </c>
      <c r="K70" s="24" t="n">
        <f aca="false">IF(G70="NOT FOUND","",INDEX(Components!$J$2:$J$500,MATCH(F70,Components!$I$2:$I$500,0)))</f>
        <v>28</v>
      </c>
      <c r="L70" s="24" t="n">
        <f aca="false">IF(AND(ISNUMBER(J70),ISNUMBER(K70)),J70*K70,"")</f>
        <v>13.23</v>
      </c>
      <c r="M70" s="15" t="str">
        <f aca="false">IF(G70="NOT FOUND","",IF(INDEX(Components!$G$2:$G$500,MATCH(F70,Components!$I$2:$I$500,0))="","UNKNOWN",INDEX(Components!$G$2:$G$500,MATCH(F70,Components!$I$2:$I$500,0))))</f>
        <v>CA</v>
      </c>
      <c r="N70" s="15" t="str">
        <f aca="false">IF(M70="","",IF(M70="UNKNOWN","Unknown",IF(M70=Home_Country,"Domestic","Imported")))</f>
        <v>Domestic</v>
      </c>
      <c r="O70" s="15" t="str">
        <f aca="false">IF(G70="NOT FOUND","",INDEX(Components!$F$2:$F$500,MATCH(F70,Components!$I$2:$I$500,0)))</f>
        <v>SUP-03</v>
      </c>
      <c r="P70" s="28" t="n">
        <f aca="false">SUMIFS(Sales!$G$2:$G$500,Sales!$I$2:$I$500,A70)</f>
        <v>172</v>
      </c>
      <c r="Q70" s="29" t="n">
        <f aca="false">IF(ISNUMBER(L70),L70*P70,"")</f>
        <v>2275.56</v>
      </c>
      <c r="R70" s="15" t="str">
        <f aca="false">IF(G70="NOT FOUND","Unknown component; ","")&amp;IF(I70="NO FACTOR","No unit conversion; ","")&amp;IF(AND(G70&lt;&gt;"NOT FOUND",K70=""),"Missing cost; ","")&amp;IF(M70="UNKNOWN","Missing origin; ","")</f>
        <v/>
      </c>
      <c r="S70" s="15" t="str">
        <f aca="false">IF(R70="","OK","CHECK")</f>
        <v>OK</v>
      </c>
    </row>
    <row r="71" customFormat="false" ht="15" hidden="false" customHeight="false" outlineLevel="0" collapsed="false">
      <c r="A71" s="12" t="s">
        <v>122</v>
      </c>
      <c r="B71" s="12" t="n">
        <v>40</v>
      </c>
      <c r="C71" s="12" t="s">
        <v>185</v>
      </c>
      <c r="D71" s="25" t="n">
        <v>0.3375</v>
      </c>
      <c r="E71" s="12" t="s">
        <v>66</v>
      </c>
      <c r="F71" s="15" t="str">
        <f aca="false">UPPER(TRIM(C71))</f>
        <v>AGG-SND</v>
      </c>
      <c r="G71" s="15" t="str">
        <f aca="false">IFERROR(INDEX(Components!$B$2:$B$500,MATCH(F71,Components!$I$2:$I$500,0)),"NOT FOUND")</f>
        <v>Concrete sand</v>
      </c>
      <c r="H71" s="15" t="str">
        <f aca="false">IF(G71="NOT FOUND","",INDEX(Components!$C$2:$C$500,MATCH(F71,Components!$I$2:$I$500,0)))</f>
        <v>T</v>
      </c>
      <c r="I71" s="26" t="n">
        <f aca="false">IF(G71="NOT FOUND","",IF(E71=H71,1,IFERROR(INDEX(Unit_Factor,MATCH(E71&amp;"&gt;"&amp;H71,Unit_Key,0)),"NO FACTOR")))</f>
        <v>1</v>
      </c>
      <c r="J71" s="27" t="n">
        <f aca="false">IF(ISNUMBER(I71),D71*I71,"")</f>
        <v>0.3375</v>
      </c>
      <c r="K71" s="24" t="n">
        <f aca="false">IF(G71="NOT FOUND","",INDEX(Components!$J$2:$J$500,MATCH(F71,Components!$I$2:$I$500,0)))</f>
        <v>24</v>
      </c>
      <c r="L71" s="24" t="n">
        <f aca="false">IF(AND(ISNUMBER(J71),ISNUMBER(K71)),J71*K71,"")</f>
        <v>8.1</v>
      </c>
      <c r="M71" s="15" t="str">
        <f aca="false">IF(G71="NOT FOUND","",IF(INDEX(Components!$G$2:$G$500,MATCH(F71,Components!$I$2:$I$500,0))="","UNKNOWN",INDEX(Components!$G$2:$G$500,MATCH(F71,Components!$I$2:$I$500,0))))</f>
        <v>CA</v>
      </c>
      <c r="N71" s="15" t="str">
        <f aca="false">IF(M71="","",IF(M71="UNKNOWN","Unknown",IF(M71=Home_Country,"Domestic","Imported")))</f>
        <v>Domestic</v>
      </c>
      <c r="O71" s="15" t="str">
        <f aca="false">IF(G71="NOT FOUND","",INDEX(Components!$F$2:$F$500,MATCH(F71,Components!$I$2:$I$500,0)))</f>
        <v>SUP-03</v>
      </c>
      <c r="P71" s="28" t="n">
        <f aca="false">SUMIFS(Sales!$G$2:$G$500,Sales!$I$2:$I$500,A71)</f>
        <v>172</v>
      </c>
      <c r="Q71" s="29" t="n">
        <f aca="false">IF(ISNUMBER(L71),L71*P71,"")</f>
        <v>1393.2</v>
      </c>
      <c r="R71" s="15" t="str">
        <f aca="false">IF(G71="NOT FOUND","Unknown component; ","")&amp;IF(I71="NO FACTOR","No unit conversion; ","")&amp;IF(AND(G71&lt;&gt;"NOT FOUND",K71=""),"Missing cost; ","")&amp;IF(M71="UNKNOWN","Missing origin; ","")</f>
        <v/>
      </c>
      <c r="S71" s="15" t="str">
        <f aca="false">IF(R71="","OK","CHECK")</f>
        <v>OK</v>
      </c>
    </row>
    <row r="72" customFormat="false" ht="15" hidden="false" customHeight="false" outlineLevel="0" collapsed="false">
      <c r="A72" s="12" t="s">
        <v>122</v>
      </c>
      <c r="B72" s="12" t="n">
        <v>50</v>
      </c>
      <c r="C72" s="12" t="s">
        <v>188</v>
      </c>
      <c r="D72" s="25" t="n">
        <v>0.9</v>
      </c>
      <c r="E72" s="12" t="s">
        <v>190</v>
      </c>
      <c r="F72" s="15" t="str">
        <f aca="false">UPPER(TRIM(C72))</f>
        <v>ADM-SP</v>
      </c>
      <c r="G72" s="15" t="str">
        <f aca="false">IFERROR(INDEX(Components!$B$2:$B$500,MATCH(F72,Components!$I$2:$I$500,0)),"NOT FOUND")</f>
        <v>Superplasticizer admixture</v>
      </c>
      <c r="H72" s="15" t="str">
        <f aca="false">IF(G72="NOT FOUND","",INDEX(Components!$C$2:$C$500,MATCH(F72,Components!$I$2:$I$500,0)))</f>
        <v>L</v>
      </c>
      <c r="I72" s="26" t="n">
        <f aca="false">IF(G72="NOT FOUND","",IF(E72=H72,1,IFERROR(INDEX(Unit_Factor,MATCH(E72&amp;"&gt;"&amp;H72,Unit_Key,0)),"NO FACTOR")))</f>
        <v>1</v>
      </c>
      <c r="J72" s="27" t="n">
        <f aca="false">IF(ISNUMBER(I72),D72*I72,"")</f>
        <v>0.9</v>
      </c>
      <c r="K72" s="24" t="n">
        <f aca="false">IF(G72="NOT FOUND","",INDEX(Components!$J$2:$J$500,MATCH(F72,Components!$I$2:$I$500,0)))</f>
        <v>4.247</v>
      </c>
      <c r="L72" s="24" t="n">
        <f aca="false">IF(AND(ISNUMBER(J72),ISNUMBER(K72)),J72*K72,"")</f>
        <v>3.8223</v>
      </c>
      <c r="M72" s="15" t="str">
        <f aca="false">IF(G72="NOT FOUND","",IF(INDEX(Components!$G$2:$G$500,MATCH(F72,Components!$I$2:$I$500,0))="","UNKNOWN",INDEX(Components!$G$2:$G$500,MATCH(F72,Components!$I$2:$I$500,0))))</f>
        <v>US</v>
      </c>
      <c r="N72" s="15" t="str">
        <f aca="false">IF(M72="","",IF(M72="UNKNOWN","Unknown",IF(M72=Home_Country,"Domestic","Imported")))</f>
        <v>Imported</v>
      </c>
      <c r="O72" s="15" t="str">
        <f aca="false">IF(G72="NOT FOUND","",INDEX(Components!$F$2:$F$500,MATCH(F72,Components!$I$2:$I$500,0)))</f>
        <v>SUP-04</v>
      </c>
      <c r="P72" s="28" t="n">
        <f aca="false">SUMIFS(Sales!$G$2:$G$500,Sales!$I$2:$I$500,A72)</f>
        <v>172</v>
      </c>
      <c r="Q72" s="29" t="n">
        <f aca="false">IF(ISNUMBER(L72),L72*P72,"")</f>
        <v>657.4356</v>
      </c>
      <c r="R72" s="15" t="str">
        <f aca="false">IF(G72="NOT FOUND","Unknown component; ","")&amp;IF(I72="NO FACTOR","No unit conversion; ","")&amp;IF(AND(G72&lt;&gt;"NOT FOUND",K72=""),"Missing cost; ","")&amp;IF(M72="UNKNOWN","Missing origin; ","")</f>
        <v/>
      </c>
      <c r="S72" s="15" t="str">
        <f aca="false">IF(R72="","OK","CHECK")</f>
        <v>OK</v>
      </c>
    </row>
    <row r="73" customFormat="false" ht="15" hidden="false" customHeight="false" outlineLevel="0" collapsed="false">
      <c r="A73" s="12" t="s">
        <v>122</v>
      </c>
      <c r="B73" s="12" t="n">
        <v>60</v>
      </c>
      <c r="C73" s="12" t="s">
        <v>192</v>
      </c>
      <c r="D73" s="25" t="n">
        <v>0.18</v>
      </c>
      <c r="E73" s="12" t="s">
        <v>190</v>
      </c>
      <c r="F73" s="15" t="str">
        <f aca="false">UPPER(TRIM(C73))</f>
        <v>ADM-AE</v>
      </c>
      <c r="G73" s="15" t="str">
        <f aca="false">IFERROR(INDEX(Components!$B$2:$B$500,MATCH(F73,Components!$I$2:$I$500,0)),"NOT FOUND")</f>
        <v>Air-entraining admixture</v>
      </c>
      <c r="H73" s="15" t="str">
        <f aca="false">IF(G73="NOT FOUND","",INDEX(Components!$C$2:$C$500,MATCH(F73,Components!$I$2:$I$500,0)))</f>
        <v>L</v>
      </c>
      <c r="I73" s="26" t="n">
        <f aca="false">IF(G73="NOT FOUND","",IF(E73=H73,1,IFERROR(INDEX(Unit_Factor,MATCH(E73&amp;"&gt;"&amp;H73,Unit_Key,0)),"NO FACTOR")))</f>
        <v>1</v>
      </c>
      <c r="J73" s="27" t="n">
        <f aca="false">IF(ISNUMBER(I73),D73*I73,"")</f>
        <v>0.18</v>
      </c>
      <c r="K73" s="24" t="n">
        <f aca="false">IF(G73="NOT FOUND","",INDEX(Components!$J$2:$J$500,MATCH(F73,Components!$I$2:$I$500,0)))</f>
        <v>3.288</v>
      </c>
      <c r="L73" s="24" t="n">
        <f aca="false">IF(AND(ISNUMBER(J73),ISNUMBER(K73)),J73*K73,"")</f>
        <v>0.59184</v>
      </c>
      <c r="M73" s="15" t="str">
        <f aca="false">IF(G73="NOT FOUND","",IF(INDEX(Components!$G$2:$G$500,MATCH(F73,Components!$I$2:$I$500,0))="","UNKNOWN",INDEX(Components!$G$2:$G$500,MATCH(F73,Components!$I$2:$I$500,0))))</f>
        <v>US</v>
      </c>
      <c r="N73" s="15" t="str">
        <f aca="false">IF(M73="","",IF(M73="UNKNOWN","Unknown",IF(M73=Home_Country,"Domestic","Imported")))</f>
        <v>Imported</v>
      </c>
      <c r="O73" s="15" t="str">
        <f aca="false">IF(G73="NOT FOUND","",INDEX(Components!$F$2:$F$500,MATCH(F73,Components!$I$2:$I$500,0)))</f>
        <v>SUP-04</v>
      </c>
      <c r="P73" s="28" t="n">
        <f aca="false">SUMIFS(Sales!$G$2:$G$500,Sales!$I$2:$I$500,A73)</f>
        <v>172</v>
      </c>
      <c r="Q73" s="29" t="n">
        <f aca="false">IF(ISNUMBER(L73),L73*P73,"")</f>
        <v>101.79648</v>
      </c>
      <c r="R73" s="15" t="str">
        <f aca="false">IF(G73="NOT FOUND","Unknown component; ","")&amp;IF(I73="NO FACTOR","No unit conversion; ","")&amp;IF(AND(G73&lt;&gt;"NOT FOUND",K73=""),"Missing cost; ","")&amp;IF(M73="UNKNOWN","Missing origin; ","")</f>
        <v/>
      </c>
      <c r="S73" s="15" t="str">
        <f aca="false">IF(R73="","OK","CHECK")</f>
        <v>OK</v>
      </c>
    </row>
    <row r="74" customFormat="false" ht="15" hidden="false" customHeight="false" outlineLevel="0" collapsed="false">
      <c r="A74" s="12" t="s">
        <v>122</v>
      </c>
      <c r="B74" s="12" t="n">
        <v>70</v>
      </c>
      <c r="C74" s="12" t="s">
        <v>195</v>
      </c>
      <c r="D74" s="25" t="n">
        <v>18</v>
      </c>
      <c r="E74" s="12" t="s">
        <v>62</v>
      </c>
      <c r="F74" s="15" t="str">
        <f aca="false">UPPER(TRIM(C74))</f>
        <v>RB-10M</v>
      </c>
      <c r="G74" s="15" t="str">
        <f aca="false">IFERROR(INDEX(Components!$B$2:$B$500,MATCH(F74,Components!$I$2:$I$500,0)),"NOT FOUND")</f>
        <v>Rebar 10M</v>
      </c>
      <c r="H74" s="15" t="str">
        <f aca="false">IF(G74="NOT FOUND","",INDEX(Components!$C$2:$C$500,MATCH(F74,Components!$I$2:$I$500,0)))</f>
        <v>KG</v>
      </c>
      <c r="I74" s="26" t="n">
        <f aca="false">IF(G74="NOT FOUND","",IF(E74=H74,1,IFERROR(INDEX(Unit_Factor,MATCH(E74&amp;"&gt;"&amp;H74,Unit_Key,0)),"NO FACTOR")))</f>
        <v>1</v>
      </c>
      <c r="J74" s="27" t="n">
        <f aca="false">IF(ISNUMBER(I74),D74*I74,"")</f>
        <v>18</v>
      </c>
      <c r="K74" s="24" t="n">
        <f aca="false">IF(G74="NOT FOUND","",INDEX(Components!$J$2:$J$500,MATCH(F74,Components!$I$2:$I$500,0)))</f>
        <v>1.38</v>
      </c>
      <c r="L74" s="24" t="n">
        <f aca="false">IF(AND(ISNUMBER(J74),ISNUMBER(K74)),J74*K74,"")</f>
        <v>24.84</v>
      </c>
      <c r="M74" s="15" t="str">
        <f aca="false">IF(G74="NOT FOUND","",IF(INDEX(Components!$G$2:$G$500,MATCH(F74,Components!$I$2:$I$500,0))="","UNKNOWN",INDEX(Components!$G$2:$G$500,MATCH(F74,Components!$I$2:$I$500,0))))</f>
        <v>CA</v>
      </c>
      <c r="N74" s="15" t="str">
        <f aca="false">IF(M74="","",IF(M74="UNKNOWN","Unknown",IF(M74=Home_Country,"Domestic","Imported")))</f>
        <v>Domestic</v>
      </c>
      <c r="O74" s="15" t="str">
        <f aca="false">IF(G74="NOT FOUND","",INDEX(Components!$F$2:$F$500,MATCH(F74,Components!$I$2:$I$500,0)))</f>
        <v>SUP-05</v>
      </c>
      <c r="P74" s="28" t="n">
        <f aca="false">SUMIFS(Sales!$G$2:$G$500,Sales!$I$2:$I$500,A74)</f>
        <v>172</v>
      </c>
      <c r="Q74" s="29" t="n">
        <f aca="false">IF(ISNUMBER(L74),L74*P74,"")</f>
        <v>4272.48</v>
      </c>
      <c r="R74" s="15" t="str">
        <f aca="false">IF(G74="NOT FOUND","Unknown component; ","")&amp;IF(I74="NO FACTOR","No unit conversion; ","")&amp;IF(AND(G74&lt;&gt;"NOT FOUND",K74=""),"Missing cost; ","")&amp;IF(M74="UNKNOWN","Missing origin; ","")</f>
        <v/>
      </c>
      <c r="S74" s="15" t="str">
        <f aca="false">IF(R74="","OK","CHECK")</f>
        <v>OK</v>
      </c>
    </row>
    <row r="75" customFormat="false" ht="15" hidden="false" customHeight="false" outlineLevel="0" collapsed="false">
      <c r="A75" s="12" t="s">
        <v>122</v>
      </c>
      <c r="B75" s="12" t="n">
        <v>80</v>
      </c>
      <c r="C75" s="12" t="s">
        <v>244</v>
      </c>
      <c r="D75" s="25" t="n">
        <v>1</v>
      </c>
      <c r="E75" s="12" t="s">
        <v>106</v>
      </c>
      <c r="F75" s="15" t="str">
        <f aca="false">UPPER(TRIM(C75))</f>
        <v>CST-FRM</v>
      </c>
      <c r="G75" s="15" t="str">
        <f aca="false">IFERROR(INDEX(Components!$B$2:$B$500,MATCH(F75,Components!$I$2:$I$500,0)),"NOT FOUND")</f>
        <v>Catch basin frame and grate casting</v>
      </c>
      <c r="H75" s="15" t="str">
        <f aca="false">IF(G75="NOT FOUND","",INDEX(Components!$C$2:$C$500,MATCH(F75,Components!$I$2:$I$500,0)))</f>
        <v>EA</v>
      </c>
      <c r="I75" s="26" t="n">
        <f aca="false">IF(G75="NOT FOUND","",IF(E75=H75,1,IFERROR(INDEX(Unit_Factor,MATCH(E75&amp;"&gt;"&amp;H75,Unit_Key,0)),"NO FACTOR")))</f>
        <v>1</v>
      </c>
      <c r="J75" s="27" t="n">
        <f aca="false">IF(ISNUMBER(I75),D75*I75,"")</f>
        <v>1</v>
      </c>
      <c r="K75" s="24" t="n">
        <f aca="false">IF(G75="NOT FOUND","",INDEX(Components!$J$2:$J$500,MATCH(F75,Components!$I$2:$I$500,0)))</f>
        <v>210</v>
      </c>
      <c r="L75" s="24" t="n">
        <f aca="false">IF(AND(ISNUMBER(J75),ISNUMBER(K75)),J75*K75,"")</f>
        <v>210</v>
      </c>
      <c r="M75" s="15" t="str">
        <f aca="false">IF(G75="NOT FOUND","",IF(INDEX(Components!$G$2:$G$500,MATCH(F75,Components!$I$2:$I$500,0))="","UNKNOWN",INDEX(Components!$G$2:$G$500,MATCH(F75,Components!$I$2:$I$500,0))))</f>
        <v>IN</v>
      </c>
      <c r="N75" s="15" t="str">
        <f aca="false">IF(M75="","",IF(M75="UNKNOWN","Unknown",IF(M75=Home_Country,"Domestic","Imported")))</f>
        <v>Imported</v>
      </c>
      <c r="O75" s="15" t="str">
        <f aca="false">IF(G75="NOT FOUND","",INDEX(Components!$F$2:$F$500,MATCH(F75,Components!$I$2:$I$500,0)))</f>
        <v>SUP-11</v>
      </c>
      <c r="P75" s="28" t="n">
        <f aca="false">SUMIFS(Sales!$G$2:$G$500,Sales!$I$2:$I$500,A75)</f>
        <v>172</v>
      </c>
      <c r="Q75" s="29" t="n">
        <f aca="false">IF(ISNUMBER(L75),L75*P75,"")</f>
        <v>36120</v>
      </c>
      <c r="R75" s="15" t="str">
        <f aca="false">IF(G75="NOT FOUND","Unknown component; ","")&amp;IF(I75="NO FACTOR","No unit conversion; ","")&amp;IF(AND(G75&lt;&gt;"NOT FOUND",K75=""),"Missing cost; ","")&amp;IF(M75="UNKNOWN","Missing origin; ","")</f>
        <v/>
      </c>
      <c r="S75" s="15" t="str">
        <f aca="false">IF(R75="","OK","CHECK")</f>
        <v>OK</v>
      </c>
    </row>
    <row r="76" customFormat="false" ht="15" hidden="false" customHeight="false" outlineLevel="0" collapsed="false">
      <c r="A76" s="12" t="s">
        <v>122</v>
      </c>
      <c r="B76" s="12" t="n">
        <v>90</v>
      </c>
      <c r="C76" s="12" t="s">
        <v>227</v>
      </c>
      <c r="D76" s="25" t="n">
        <v>0.3</v>
      </c>
      <c r="E76" s="12" t="s">
        <v>190</v>
      </c>
      <c r="F76" s="15" t="str">
        <f aca="false">UPPER(TRIM(C76))</f>
        <v>FRM-OIL</v>
      </c>
      <c r="G76" s="15" t="str">
        <f aca="false">IFERROR(INDEX(Components!$B$2:$B$500,MATCH(F76,Components!$I$2:$I$500,0)),"NOT FOUND")</f>
        <v>Form release agent</v>
      </c>
      <c r="H76" s="15" t="str">
        <f aca="false">IF(G76="NOT FOUND","",INDEX(Components!$C$2:$C$500,MATCH(F76,Components!$I$2:$I$500,0)))</f>
        <v>L</v>
      </c>
      <c r="I76" s="26" t="n">
        <f aca="false">IF(G76="NOT FOUND","",IF(E76=H76,1,IFERROR(INDEX(Unit_Factor,MATCH(E76&amp;"&gt;"&amp;H76,Unit_Key,0)),"NO FACTOR")))</f>
        <v>1</v>
      </c>
      <c r="J76" s="27" t="n">
        <f aca="false">IF(ISNUMBER(I76),D76*I76,"")</f>
        <v>0.3</v>
      </c>
      <c r="K76" s="24" t="n">
        <f aca="false">IF(G76="NOT FOUND","",INDEX(Components!$J$2:$J$500,MATCH(F76,Components!$I$2:$I$500,0)))</f>
        <v>1.15</v>
      </c>
      <c r="L76" s="24" t="n">
        <f aca="false">IF(AND(ISNUMBER(J76),ISNUMBER(K76)),J76*K76,"")</f>
        <v>0.345</v>
      </c>
      <c r="M76" s="15" t="str">
        <f aca="false">IF(G76="NOT FOUND","",IF(INDEX(Components!$G$2:$G$500,MATCH(F76,Components!$I$2:$I$500,0))="","UNKNOWN",INDEX(Components!$G$2:$G$500,MATCH(F76,Components!$I$2:$I$500,0))))</f>
        <v>CA</v>
      </c>
      <c r="N76" s="15" t="str">
        <f aca="false">IF(M76="","",IF(M76="UNKNOWN","Unknown",IF(M76=Home_Country,"Domestic","Imported")))</f>
        <v>Domestic</v>
      </c>
      <c r="O76" s="15" t="str">
        <f aca="false">IF(G76="NOT FOUND","",INDEX(Components!$F$2:$F$500,MATCH(F76,Components!$I$2:$I$500,0)))</f>
        <v>SUP-12</v>
      </c>
      <c r="P76" s="28" t="n">
        <f aca="false">SUMIFS(Sales!$G$2:$G$500,Sales!$I$2:$I$500,A76)</f>
        <v>172</v>
      </c>
      <c r="Q76" s="29" t="n">
        <f aca="false">IF(ISNUMBER(L76),L76*P76,"")</f>
        <v>59.34</v>
      </c>
      <c r="R76" s="15" t="str">
        <f aca="false">IF(G76="NOT FOUND","Unknown component; ","")&amp;IF(I76="NO FACTOR","No unit conversion; ","")&amp;IF(AND(G76&lt;&gt;"NOT FOUND",K76=""),"Missing cost; ","")&amp;IF(M76="UNKNOWN","Missing origin; ","")</f>
        <v/>
      </c>
      <c r="S76" s="15" t="str">
        <f aca="false">IF(R76="","OK","CHECK")</f>
        <v>OK</v>
      </c>
    </row>
    <row r="77" customFormat="false" ht="15" hidden="false" customHeight="false" outlineLevel="0" collapsed="false">
      <c r="A77" s="12" t="s">
        <v>125</v>
      </c>
      <c r="B77" s="12" t="n">
        <v>10</v>
      </c>
      <c r="C77" s="12" t="s">
        <v>176</v>
      </c>
      <c r="D77" s="25" t="n">
        <v>0.532</v>
      </c>
      <c r="E77" s="12" t="s">
        <v>66</v>
      </c>
      <c r="F77" s="15" t="str">
        <f aca="false">UPPER(TRIM(C77))</f>
        <v>CMT-GU</v>
      </c>
      <c r="G77" s="15" t="str">
        <f aca="false">IFERROR(INDEX(Components!$B$2:$B$500,MATCH(F77,Components!$I$2:$I$500,0)),"NOT FOUND")</f>
        <v>Portland cement Type GU</v>
      </c>
      <c r="H77" s="15" t="str">
        <f aca="false">IF(G77="NOT FOUND","",INDEX(Components!$C$2:$C$500,MATCH(F77,Components!$I$2:$I$500,0)))</f>
        <v>T</v>
      </c>
      <c r="I77" s="26" t="n">
        <f aca="false">IF(G77="NOT FOUND","",IF(E77=H77,1,IFERROR(INDEX(Unit_Factor,MATCH(E77&amp;"&gt;"&amp;H77,Unit_Key,0)),"NO FACTOR")))</f>
        <v>1</v>
      </c>
      <c r="J77" s="27" t="n">
        <f aca="false">IF(ISNUMBER(I77),D77*I77,"")</f>
        <v>0.532</v>
      </c>
      <c r="K77" s="24" t="n">
        <f aca="false">IF(G77="NOT FOUND","",INDEX(Components!$J$2:$J$500,MATCH(F77,Components!$I$2:$I$500,0)))</f>
        <v>235</v>
      </c>
      <c r="L77" s="24" t="n">
        <f aca="false">IF(AND(ISNUMBER(J77),ISNUMBER(K77)),J77*K77,"")</f>
        <v>125.02</v>
      </c>
      <c r="M77" s="15" t="str">
        <f aca="false">IF(G77="NOT FOUND","",IF(INDEX(Components!$G$2:$G$500,MATCH(F77,Components!$I$2:$I$500,0))="","UNKNOWN",INDEX(Components!$G$2:$G$500,MATCH(F77,Components!$I$2:$I$500,0))))</f>
        <v>CA</v>
      </c>
      <c r="N77" s="15" t="str">
        <f aca="false">IF(M77="","",IF(M77="UNKNOWN","Unknown",IF(M77=Home_Country,"Domestic","Imported")))</f>
        <v>Domestic</v>
      </c>
      <c r="O77" s="15" t="str">
        <f aca="false">IF(G77="NOT FOUND","",INDEX(Components!$F$2:$F$500,MATCH(F77,Components!$I$2:$I$500,0)))</f>
        <v>SUP-01</v>
      </c>
      <c r="P77" s="28" t="n">
        <f aca="false">SUMIFS(Sales!$G$2:$G$500,Sales!$I$2:$I$500,A77)</f>
        <v>646</v>
      </c>
      <c r="Q77" s="29" t="n">
        <f aca="false">IF(ISNUMBER(L77),L77*P77,"")</f>
        <v>80762.92</v>
      </c>
      <c r="R77" s="15" t="str">
        <f aca="false">IF(G77="NOT FOUND","Unknown component; ","")&amp;IF(I77="NO FACTOR","No unit conversion; ","")&amp;IF(AND(G77&lt;&gt;"NOT FOUND",K77=""),"Missing cost; ","")&amp;IF(M77="UNKNOWN","Missing origin; ","")</f>
        <v/>
      </c>
      <c r="S77" s="15" t="str">
        <f aca="false">IF(R77="","OK","CHECK")</f>
        <v>OK</v>
      </c>
    </row>
    <row r="78" customFormat="false" ht="15" hidden="false" customHeight="false" outlineLevel="0" collapsed="false">
      <c r="A78" s="12" t="s">
        <v>125</v>
      </c>
      <c r="B78" s="12" t="n">
        <v>20</v>
      </c>
      <c r="C78" s="12" t="s">
        <v>179</v>
      </c>
      <c r="D78" s="25" t="n">
        <v>0.1064</v>
      </c>
      <c r="E78" s="12" t="s">
        <v>66</v>
      </c>
      <c r="F78" s="15" t="str">
        <f aca="false">UPPER(TRIM(C78))</f>
        <v>SCM-FA</v>
      </c>
      <c r="G78" s="15" t="str">
        <f aca="false">IFERROR(INDEX(Components!$B$2:$B$500,MATCH(F78,Components!$I$2:$I$500,0)),"NOT FOUND")</f>
        <v>Fly ash Class F</v>
      </c>
      <c r="H78" s="15" t="str">
        <f aca="false">IF(G78="NOT FOUND","",INDEX(Components!$C$2:$C$500,MATCH(F78,Components!$I$2:$I$500,0)))</f>
        <v>T</v>
      </c>
      <c r="I78" s="26" t="n">
        <f aca="false">IF(G78="NOT FOUND","",IF(E78=H78,1,IFERROR(INDEX(Unit_Factor,MATCH(E78&amp;"&gt;"&amp;H78,Unit_Key,0)),"NO FACTOR")))</f>
        <v>1</v>
      </c>
      <c r="J78" s="27" t="n">
        <f aca="false">IF(ISNUMBER(I78),D78*I78,"")</f>
        <v>0.1064</v>
      </c>
      <c r="K78" s="24" t="n">
        <f aca="false">IF(G78="NOT FOUND","",INDEX(Components!$J$2:$J$500,MATCH(F78,Components!$I$2:$I$500,0)))</f>
        <v>98.64</v>
      </c>
      <c r="L78" s="24" t="n">
        <f aca="false">IF(AND(ISNUMBER(J78),ISNUMBER(K78)),J78*K78,"")</f>
        <v>10.495296</v>
      </c>
      <c r="M78" s="15" t="str">
        <f aca="false">IF(G78="NOT FOUND","",IF(INDEX(Components!$G$2:$G$500,MATCH(F78,Components!$I$2:$I$500,0))="","UNKNOWN",INDEX(Components!$G$2:$G$500,MATCH(F78,Components!$I$2:$I$500,0))))</f>
        <v>US</v>
      </c>
      <c r="N78" s="15" t="str">
        <f aca="false">IF(M78="","",IF(M78="UNKNOWN","Unknown",IF(M78=Home_Country,"Domestic","Imported")))</f>
        <v>Imported</v>
      </c>
      <c r="O78" s="15" t="str">
        <f aca="false">IF(G78="NOT FOUND","",INDEX(Components!$F$2:$F$500,MATCH(F78,Components!$I$2:$I$500,0)))</f>
        <v>SUP-02</v>
      </c>
      <c r="P78" s="28" t="n">
        <f aca="false">SUMIFS(Sales!$G$2:$G$500,Sales!$I$2:$I$500,A78)</f>
        <v>646</v>
      </c>
      <c r="Q78" s="29" t="n">
        <f aca="false">IF(ISNUMBER(L78),L78*P78,"")</f>
        <v>6779.961216</v>
      </c>
      <c r="R78" s="15" t="str">
        <f aca="false">IF(G78="NOT FOUND","Unknown component; ","")&amp;IF(I78="NO FACTOR","No unit conversion; ","")&amp;IF(AND(G78&lt;&gt;"NOT FOUND",K78=""),"Missing cost; ","")&amp;IF(M78="UNKNOWN","Missing origin; ","")</f>
        <v/>
      </c>
      <c r="S78" s="15" t="str">
        <f aca="false">IF(R78="","OK","CHECK")</f>
        <v>OK</v>
      </c>
    </row>
    <row r="79" customFormat="false" ht="15" hidden="false" customHeight="false" outlineLevel="0" collapsed="false">
      <c r="A79" s="12" t="s">
        <v>125</v>
      </c>
      <c r="B79" s="12" t="n">
        <v>30</v>
      </c>
      <c r="C79" s="12" t="s">
        <v>182</v>
      </c>
      <c r="D79" s="25" t="n">
        <v>1.596</v>
      </c>
      <c r="E79" s="12" t="s">
        <v>66</v>
      </c>
      <c r="F79" s="15" t="str">
        <f aca="false">UPPER(TRIM(C79))</f>
        <v>AGG-20</v>
      </c>
      <c r="G79" s="15" t="str">
        <f aca="false">IFERROR(INDEX(Components!$B$2:$B$500,MATCH(F79,Components!$I$2:$I$500,0)),"NOT FOUND")</f>
        <v>Coarse aggregate 20 mm</v>
      </c>
      <c r="H79" s="15" t="str">
        <f aca="false">IF(G79="NOT FOUND","",INDEX(Components!$C$2:$C$500,MATCH(F79,Components!$I$2:$I$500,0)))</f>
        <v>T</v>
      </c>
      <c r="I79" s="26" t="n">
        <f aca="false">IF(G79="NOT FOUND","",IF(E79=H79,1,IFERROR(INDEX(Unit_Factor,MATCH(E79&amp;"&gt;"&amp;H79,Unit_Key,0)),"NO FACTOR")))</f>
        <v>1</v>
      </c>
      <c r="J79" s="27" t="n">
        <f aca="false">IF(ISNUMBER(I79),D79*I79,"")</f>
        <v>1.596</v>
      </c>
      <c r="K79" s="24" t="n">
        <f aca="false">IF(G79="NOT FOUND","",INDEX(Components!$J$2:$J$500,MATCH(F79,Components!$I$2:$I$500,0)))</f>
        <v>28</v>
      </c>
      <c r="L79" s="24" t="n">
        <f aca="false">IF(AND(ISNUMBER(J79),ISNUMBER(K79)),J79*K79,"")</f>
        <v>44.688</v>
      </c>
      <c r="M79" s="15" t="str">
        <f aca="false">IF(G79="NOT FOUND","",IF(INDEX(Components!$G$2:$G$500,MATCH(F79,Components!$I$2:$I$500,0))="","UNKNOWN",INDEX(Components!$G$2:$G$500,MATCH(F79,Components!$I$2:$I$500,0))))</f>
        <v>CA</v>
      </c>
      <c r="N79" s="15" t="str">
        <f aca="false">IF(M79="","",IF(M79="UNKNOWN","Unknown",IF(M79=Home_Country,"Domestic","Imported")))</f>
        <v>Domestic</v>
      </c>
      <c r="O79" s="15" t="str">
        <f aca="false">IF(G79="NOT FOUND","",INDEX(Components!$F$2:$F$500,MATCH(F79,Components!$I$2:$I$500,0)))</f>
        <v>SUP-03</v>
      </c>
      <c r="P79" s="28" t="n">
        <f aca="false">SUMIFS(Sales!$G$2:$G$500,Sales!$I$2:$I$500,A79)</f>
        <v>646</v>
      </c>
      <c r="Q79" s="29" t="n">
        <f aca="false">IF(ISNUMBER(L79),L79*P79,"")</f>
        <v>28868.448</v>
      </c>
      <c r="R79" s="15" t="str">
        <f aca="false">IF(G79="NOT FOUND","Unknown component; ","")&amp;IF(I79="NO FACTOR","No unit conversion; ","")&amp;IF(AND(G79&lt;&gt;"NOT FOUND",K79=""),"Missing cost; ","")&amp;IF(M79="UNKNOWN","Missing origin; ","")</f>
        <v/>
      </c>
      <c r="S79" s="15" t="str">
        <f aca="false">IF(R79="","OK","CHECK")</f>
        <v>OK</v>
      </c>
    </row>
    <row r="80" customFormat="false" ht="15" hidden="false" customHeight="false" outlineLevel="0" collapsed="false">
      <c r="A80" s="12" t="s">
        <v>125</v>
      </c>
      <c r="B80" s="12" t="n">
        <v>40</v>
      </c>
      <c r="C80" s="12" t="s">
        <v>185</v>
      </c>
      <c r="D80" s="25" t="n">
        <v>1.14</v>
      </c>
      <c r="E80" s="12" t="s">
        <v>66</v>
      </c>
      <c r="F80" s="15" t="str">
        <f aca="false">UPPER(TRIM(C80))</f>
        <v>AGG-SND</v>
      </c>
      <c r="G80" s="15" t="str">
        <f aca="false">IFERROR(INDEX(Components!$B$2:$B$500,MATCH(F80,Components!$I$2:$I$500,0)),"NOT FOUND")</f>
        <v>Concrete sand</v>
      </c>
      <c r="H80" s="15" t="str">
        <f aca="false">IF(G80="NOT FOUND","",INDEX(Components!$C$2:$C$500,MATCH(F80,Components!$I$2:$I$500,0)))</f>
        <v>T</v>
      </c>
      <c r="I80" s="26" t="n">
        <f aca="false">IF(G80="NOT FOUND","",IF(E80=H80,1,IFERROR(INDEX(Unit_Factor,MATCH(E80&amp;"&gt;"&amp;H80,Unit_Key,0)),"NO FACTOR")))</f>
        <v>1</v>
      </c>
      <c r="J80" s="27" t="n">
        <f aca="false">IF(ISNUMBER(I80),D80*I80,"")</f>
        <v>1.14</v>
      </c>
      <c r="K80" s="24" t="n">
        <f aca="false">IF(G80="NOT FOUND","",INDEX(Components!$J$2:$J$500,MATCH(F80,Components!$I$2:$I$500,0)))</f>
        <v>24</v>
      </c>
      <c r="L80" s="24" t="n">
        <f aca="false">IF(AND(ISNUMBER(J80),ISNUMBER(K80)),J80*K80,"")</f>
        <v>27.36</v>
      </c>
      <c r="M80" s="15" t="str">
        <f aca="false">IF(G80="NOT FOUND","",IF(INDEX(Components!$G$2:$G$500,MATCH(F80,Components!$I$2:$I$500,0))="","UNKNOWN",INDEX(Components!$G$2:$G$500,MATCH(F80,Components!$I$2:$I$500,0))))</f>
        <v>CA</v>
      </c>
      <c r="N80" s="15" t="str">
        <f aca="false">IF(M80="","",IF(M80="UNKNOWN","Unknown",IF(M80=Home_Country,"Domestic","Imported")))</f>
        <v>Domestic</v>
      </c>
      <c r="O80" s="15" t="str">
        <f aca="false">IF(G80="NOT FOUND","",INDEX(Components!$F$2:$F$500,MATCH(F80,Components!$I$2:$I$500,0)))</f>
        <v>SUP-03</v>
      </c>
      <c r="P80" s="28" t="n">
        <f aca="false">SUMIFS(Sales!$G$2:$G$500,Sales!$I$2:$I$500,A80)</f>
        <v>646</v>
      </c>
      <c r="Q80" s="29" t="n">
        <f aca="false">IF(ISNUMBER(L80),L80*P80,"")</f>
        <v>17674.56</v>
      </c>
      <c r="R80" s="15" t="str">
        <f aca="false">IF(G80="NOT FOUND","Unknown component; ","")&amp;IF(I80="NO FACTOR","No unit conversion; ","")&amp;IF(AND(G80&lt;&gt;"NOT FOUND",K80=""),"Missing cost; ","")&amp;IF(M80="UNKNOWN","Missing origin; ","")</f>
        <v/>
      </c>
      <c r="S80" s="15" t="str">
        <f aca="false">IF(R80="","OK","CHECK")</f>
        <v>OK</v>
      </c>
    </row>
    <row r="81" customFormat="false" ht="15" hidden="false" customHeight="false" outlineLevel="0" collapsed="false">
      <c r="A81" s="12" t="s">
        <v>125</v>
      </c>
      <c r="B81" s="12" t="n">
        <v>50</v>
      </c>
      <c r="C81" s="12" t="s">
        <v>188</v>
      </c>
      <c r="D81" s="25" t="n">
        <v>3.04</v>
      </c>
      <c r="E81" s="12" t="s">
        <v>190</v>
      </c>
      <c r="F81" s="15" t="str">
        <f aca="false">UPPER(TRIM(C81))</f>
        <v>ADM-SP</v>
      </c>
      <c r="G81" s="15" t="str">
        <f aca="false">IFERROR(INDEX(Components!$B$2:$B$500,MATCH(F81,Components!$I$2:$I$500,0)),"NOT FOUND")</f>
        <v>Superplasticizer admixture</v>
      </c>
      <c r="H81" s="15" t="str">
        <f aca="false">IF(G81="NOT FOUND","",INDEX(Components!$C$2:$C$500,MATCH(F81,Components!$I$2:$I$500,0)))</f>
        <v>L</v>
      </c>
      <c r="I81" s="26" t="n">
        <f aca="false">IF(G81="NOT FOUND","",IF(E81=H81,1,IFERROR(INDEX(Unit_Factor,MATCH(E81&amp;"&gt;"&amp;H81,Unit_Key,0)),"NO FACTOR")))</f>
        <v>1</v>
      </c>
      <c r="J81" s="27" t="n">
        <f aca="false">IF(ISNUMBER(I81),D81*I81,"")</f>
        <v>3.04</v>
      </c>
      <c r="K81" s="24" t="n">
        <f aca="false">IF(G81="NOT FOUND","",INDEX(Components!$J$2:$J$500,MATCH(F81,Components!$I$2:$I$500,0)))</f>
        <v>4.247</v>
      </c>
      <c r="L81" s="24" t="n">
        <f aca="false">IF(AND(ISNUMBER(J81),ISNUMBER(K81)),J81*K81,"")</f>
        <v>12.91088</v>
      </c>
      <c r="M81" s="15" t="str">
        <f aca="false">IF(G81="NOT FOUND","",IF(INDEX(Components!$G$2:$G$500,MATCH(F81,Components!$I$2:$I$500,0))="","UNKNOWN",INDEX(Components!$G$2:$G$500,MATCH(F81,Components!$I$2:$I$500,0))))</f>
        <v>US</v>
      </c>
      <c r="N81" s="15" t="str">
        <f aca="false">IF(M81="","",IF(M81="UNKNOWN","Unknown",IF(M81=Home_Country,"Domestic","Imported")))</f>
        <v>Imported</v>
      </c>
      <c r="O81" s="15" t="str">
        <f aca="false">IF(G81="NOT FOUND","",INDEX(Components!$F$2:$F$500,MATCH(F81,Components!$I$2:$I$500,0)))</f>
        <v>SUP-04</v>
      </c>
      <c r="P81" s="28" t="n">
        <f aca="false">SUMIFS(Sales!$G$2:$G$500,Sales!$I$2:$I$500,A81)</f>
        <v>646</v>
      </c>
      <c r="Q81" s="29" t="n">
        <f aca="false">IF(ISNUMBER(L81),L81*P81,"")</f>
        <v>8340.42848</v>
      </c>
      <c r="R81" s="15" t="str">
        <f aca="false">IF(G81="NOT FOUND","Unknown component; ","")&amp;IF(I81="NO FACTOR","No unit conversion; ","")&amp;IF(AND(G81&lt;&gt;"NOT FOUND",K81=""),"Missing cost; ","")&amp;IF(M81="UNKNOWN","Missing origin; ","")</f>
        <v/>
      </c>
      <c r="S81" s="15" t="str">
        <f aca="false">IF(R81="","OK","CHECK")</f>
        <v>OK</v>
      </c>
    </row>
    <row r="82" customFormat="false" ht="15" hidden="false" customHeight="false" outlineLevel="0" collapsed="false">
      <c r="A82" s="12" t="s">
        <v>125</v>
      </c>
      <c r="B82" s="12" t="n">
        <v>60</v>
      </c>
      <c r="C82" s="12" t="s">
        <v>192</v>
      </c>
      <c r="D82" s="25" t="n">
        <v>0.608</v>
      </c>
      <c r="E82" s="12" t="s">
        <v>190</v>
      </c>
      <c r="F82" s="15" t="str">
        <f aca="false">UPPER(TRIM(C82))</f>
        <v>ADM-AE</v>
      </c>
      <c r="G82" s="15" t="str">
        <f aca="false">IFERROR(INDEX(Components!$B$2:$B$500,MATCH(F82,Components!$I$2:$I$500,0)),"NOT FOUND")</f>
        <v>Air-entraining admixture</v>
      </c>
      <c r="H82" s="15" t="str">
        <f aca="false">IF(G82="NOT FOUND","",INDEX(Components!$C$2:$C$500,MATCH(F82,Components!$I$2:$I$500,0)))</f>
        <v>L</v>
      </c>
      <c r="I82" s="26" t="n">
        <f aca="false">IF(G82="NOT FOUND","",IF(E82=H82,1,IFERROR(INDEX(Unit_Factor,MATCH(E82&amp;"&gt;"&amp;H82,Unit_Key,0)),"NO FACTOR")))</f>
        <v>1</v>
      </c>
      <c r="J82" s="27" t="n">
        <f aca="false">IF(ISNUMBER(I82),D82*I82,"")</f>
        <v>0.608</v>
      </c>
      <c r="K82" s="24" t="n">
        <f aca="false">IF(G82="NOT FOUND","",INDEX(Components!$J$2:$J$500,MATCH(F82,Components!$I$2:$I$500,0)))</f>
        <v>3.288</v>
      </c>
      <c r="L82" s="24" t="n">
        <f aca="false">IF(AND(ISNUMBER(J82),ISNUMBER(K82)),J82*K82,"")</f>
        <v>1.999104</v>
      </c>
      <c r="M82" s="15" t="str">
        <f aca="false">IF(G82="NOT FOUND","",IF(INDEX(Components!$G$2:$G$500,MATCH(F82,Components!$I$2:$I$500,0))="","UNKNOWN",INDEX(Components!$G$2:$G$500,MATCH(F82,Components!$I$2:$I$500,0))))</f>
        <v>US</v>
      </c>
      <c r="N82" s="15" t="str">
        <f aca="false">IF(M82="","",IF(M82="UNKNOWN","Unknown",IF(M82=Home_Country,"Domestic","Imported")))</f>
        <v>Imported</v>
      </c>
      <c r="O82" s="15" t="str">
        <f aca="false">IF(G82="NOT FOUND","",INDEX(Components!$F$2:$F$500,MATCH(F82,Components!$I$2:$I$500,0)))</f>
        <v>SUP-04</v>
      </c>
      <c r="P82" s="28" t="n">
        <f aca="false">SUMIFS(Sales!$G$2:$G$500,Sales!$I$2:$I$500,A82)</f>
        <v>646</v>
      </c>
      <c r="Q82" s="29" t="n">
        <f aca="false">IF(ISNUMBER(L82),L82*P82,"")</f>
        <v>1291.421184</v>
      </c>
      <c r="R82" s="15" t="str">
        <f aca="false">IF(G82="NOT FOUND","Unknown component; ","")&amp;IF(I82="NO FACTOR","No unit conversion; ","")&amp;IF(AND(G82&lt;&gt;"NOT FOUND",K82=""),"Missing cost; ","")&amp;IF(M82="UNKNOWN","Missing origin; ","")</f>
        <v/>
      </c>
      <c r="S82" s="15" t="str">
        <f aca="false">IF(R82="","OK","CHECK")</f>
        <v>OK</v>
      </c>
    </row>
    <row r="83" customFormat="false" ht="15" hidden="false" customHeight="false" outlineLevel="0" collapsed="false">
      <c r="A83" s="12" t="s">
        <v>125</v>
      </c>
      <c r="B83" s="12" t="n">
        <v>70</v>
      </c>
      <c r="C83" s="12" t="s">
        <v>198</v>
      </c>
      <c r="D83" s="25" t="n">
        <v>70</v>
      </c>
      <c r="E83" s="12" t="s">
        <v>62</v>
      </c>
      <c r="F83" s="15" t="str">
        <f aca="false">UPPER(TRIM(C83))</f>
        <v>RB-15M</v>
      </c>
      <c r="G83" s="15" t="str">
        <f aca="false">IFERROR(INDEX(Components!$B$2:$B$500,MATCH(F83,Components!$I$2:$I$500,0)),"NOT FOUND")</f>
        <v>Rebar 15M</v>
      </c>
      <c r="H83" s="15" t="str">
        <f aca="false">IF(G83="NOT FOUND","",INDEX(Components!$C$2:$C$500,MATCH(F83,Components!$I$2:$I$500,0)))</f>
        <v>KG</v>
      </c>
      <c r="I83" s="26" t="n">
        <f aca="false">IF(G83="NOT FOUND","",IF(E83=H83,1,IFERROR(INDEX(Unit_Factor,MATCH(E83&amp;"&gt;"&amp;H83,Unit_Key,0)),"NO FACTOR")))</f>
        <v>1</v>
      </c>
      <c r="J83" s="27" t="n">
        <f aca="false">IF(ISNUMBER(I83),D83*I83,"")</f>
        <v>70</v>
      </c>
      <c r="K83" s="24" t="n">
        <f aca="false">IF(G83="NOT FOUND","",INDEX(Components!$J$2:$J$500,MATCH(F83,Components!$I$2:$I$500,0)))</f>
        <v>1.31</v>
      </c>
      <c r="L83" s="24" t="n">
        <f aca="false">IF(AND(ISNUMBER(J83),ISNUMBER(K83)),J83*K83,"")</f>
        <v>91.7</v>
      </c>
      <c r="M83" s="15" t="str">
        <f aca="false">IF(G83="NOT FOUND","",IF(INDEX(Components!$G$2:$G$500,MATCH(F83,Components!$I$2:$I$500,0))="","UNKNOWN",INDEX(Components!$G$2:$G$500,MATCH(F83,Components!$I$2:$I$500,0))))</f>
        <v>CA</v>
      </c>
      <c r="N83" s="15" t="str">
        <f aca="false">IF(M83="","",IF(M83="UNKNOWN","Unknown",IF(M83=Home_Country,"Domestic","Imported")))</f>
        <v>Domestic</v>
      </c>
      <c r="O83" s="15" t="str">
        <f aca="false">IF(G83="NOT FOUND","",INDEX(Components!$F$2:$F$500,MATCH(F83,Components!$I$2:$I$500,0)))</f>
        <v>SUP-05</v>
      </c>
      <c r="P83" s="28" t="n">
        <f aca="false">SUMIFS(Sales!$G$2:$G$500,Sales!$I$2:$I$500,A83)</f>
        <v>646</v>
      </c>
      <c r="Q83" s="29" t="n">
        <f aca="false">IF(ISNUMBER(L83),L83*P83,"")</f>
        <v>59238.2</v>
      </c>
      <c r="R83" s="15" t="str">
        <f aca="false">IF(G83="NOT FOUND","Unknown component; ","")&amp;IF(I83="NO FACTOR","No unit conversion; ","")&amp;IF(AND(G83&lt;&gt;"NOT FOUND",K83=""),"Missing cost; ","")&amp;IF(M83="UNKNOWN","Missing origin; ","")</f>
        <v/>
      </c>
      <c r="S83" s="15" t="str">
        <f aca="false">IF(R83="","OK","CHECK")</f>
        <v>OK</v>
      </c>
    </row>
    <row r="84" customFormat="false" ht="15" hidden="false" customHeight="false" outlineLevel="0" collapsed="false">
      <c r="A84" s="12" t="s">
        <v>125</v>
      </c>
      <c r="B84" s="12" t="n">
        <v>80</v>
      </c>
      <c r="C84" s="12" t="s">
        <v>215</v>
      </c>
      <c r="D84" s="25" t="n">
        <v>2</v>
      </c>
      <c r="E84" s="12" t="s">
        <v>106</v>
      </c>
      <c r="F84" s="15" t="str">
        <f aca="false">UPPER(TRIM(C84))</f>
        <v>LFT-ANC</v>
      </c>
      <c r="G84" s="15" t="str">
        <f aca="false">IFERROR(INDEX(Components!$B$2:$B$500,MATCH(F84,Components!$I$2:$I$500,0)),"NOT FOUND")</f>
        <v>Lifting anchor 2.5 t</v>
      </c>
      <c r="H84" s="15" t="str">
        <f aca="false">IF(G84="NOT FOUND","",INDEX(Components!$C$2:$C$500,MATCH(F84,Components!$I$2:$I$500,0)))</f>
        <v>EA</v>
      </c>
      <c r="I84" s="26" t="n">
        <f aca="false">IF(G84="NOT FOUND","",IF(E84=H84,1,IFERROR(INDEX(Unit_Factor,MATCH(E84&amp;"&gt;"&amp;H84,Unit_Key,0)),"NO FACTOR")))</f>
        <v>1</v>
      </c>
      <c r="J84" s="27" t="n">
        <f aca="false">IF(ISNUMBER(I84),D84*I84,"")</f>
        <v>2</v>
      </c>
      <c r="K84" s="24" t="n">
        <f aca="false">IF(G84="NOT FOUND","",INDEX(Components!$J$2:$J$500,MATCH(F84,Components!$I$2:$I$500,0)))</f>
        <v>6.9</v>
      </c>
      <c r="L84" s="24" t="n">
        <f aca="false">IF(AND(ISNUMBER(J84),ISNUMBER(K84)),J84*K84,"")</f>
        <v>13.8</v>
      </c>
      <c r="M84" s="15" t="str">
        <f aca="false">IF(G84="NOT FOUND","",IF(INDEX(Components!$G$2:$G$500,MATCH(F84,Components!$I$2:$I$500,0))="","UNKNOWN",INDEX(Components!$G$2:$G$500,MATCH(F84,Components!$I$2:$I$500,0))))</f>
        <v>DE</v>
      </c>
      <c r="N84" s="15" t="str">
        <f aca="false">IF(M84="","",IF(M84="UNKNOWN","Unknown",IF(M84=Home_Country,"Domestic","Imported")))</f>
        <v>Imported</v>
      </c>
      <c r="O84" s="15" t="str">
        <f aca="false">IF(G84="NOT FOUND","",INDEX(Components!$F$2:$F$500,MATCH(F84,Components!$I$2:$I$500,0)))</f>
        <v>SUP-10</v>
      </c>
      <c r="P84" s="28" t="n">
        <f aca="false">SUMIFS(Sales!$G$2:$G$500,Sales!$I$2:$I$500,A84)</f>
        <v>646</v>
      </c>
      <c r="Q84" s="29" t="n">
        <f aca="false">IF(ISNUMBER(L84),L84*P84,"")</f>
        <v>8914.8</v>
      </c>
      <c r="R84" s="15" t="str">
        <f aca="false">IF(G84="NOT FOUND","Unknown component; ","")&amp;IF(I84="NO FACTOR","No unit conversion; ","")&amp;IF(AND(G84&lt;&gt;"NOT FOUND",K84=""),"Missing cost; ","")&amp;IF(M84="UNKNOWN","Missing origin; ","")</f>
        <v/>
      </c>
      <c r="S84" s="15" t="str">
        <f aca="false">IF(R84="","OK","CHECK")</f>
        <v>OK</v>
      </c>
    </row>
    <row r="85" customFormat="false" ht="15" hidden="false" customHeight="false" outlineLevel="0" collapsed="false">
      <c r="A85" s="12" t="s">
        <v>125</v>
      </c>
      <c r="B85" s="12" t="n">
        <v>90</v>
      </c>
      <c r="C85" s="12" t="s">
        <v>227</v>
      </c>
      <c r="D85" s="25" t="n">
        <v>0.6</v>
      </c>
      <c r="E85" s="12" t="s">
        <v>190</v>
      </c>
      <c r="F85" s="15" t="str">
        <f aca="false">UPPER(TRIM(C85))</f>
        <v>FRM-OIL</v>
      </c>
      <c r="G85" s="15" t="str">
        <f aca="false">IFERROR(INDEX(Components!$B$2:$B$500,MATCH(F85,Components!$I$2:$I$500,0)),"NOT FOUND")</f>
        <v>Form release agent</v>
      </c>
      <c r="H85" s="15" t="str">
        <f aca="false">IF(G85="NOT FOUND","",INDEX(Components!$C$2:$C$500,MATCH(F85,Components!$I$2:$I$500,0)))</f>
        <v>L</v>
      </c>
      <c r="I85" s="26" t="n">
        <f aca="false">IF(G85="NOT FOUND","",IF(E85=H85,1,IFERROR(INDEX(Unit_Factor,MATCH(E85&amp;"&gt;"&amp;H85,Unit_Key,0)),"NO FACTOR")))</f>
        <v>1</v>
      </c>
      <c r="J85" s="27" t="n">
        <f aca="false">IF(ISNUMBER(I85),D85*I85,"")</f>
        <v>0.6</v>
      </c>
      <c r="K85" s="24" t="n">
        <f aca="false">IF(G85="NOT FOUND","",INDEX(Components!$J$2:$J$500,MATCH(F85,Components!$I$2:$I$500,0)))</f>
        <v>1.15</v>
      </c>
      <c r="L85" s="24" t="n">
        <f aca="false">IF(AND(ISNUMBER(J85),ISNUMBER(K85)),J85*K85,"")</f>
        <v>0.69</v>
      </c>
      <c r="M85" s="15" t="str">
        <f aca="false">IF(G85="NOT FOUND","",IF(INDEX(Components!$G$2:$G$500,MATCH(F85,Components!$I$2:$I$500,0))="","UNKNOWN",INDEX(Components!$G$2:$G$500,MATCH(F85,Components!$I$2:$I$500,0))))</f>
        <v>CA</v>
      </c>
      <c r="N85" s="15" t="str">
        <f aca="false">IF(M85="","",IF(M85="UNKNOWN","Unknown",IF(M85=Home_Country,"Domestic","Imported")))</f>
        <v>Domestic</v>
      </c>
      <c r="O85" s="15" t="str">
        <f aca="false">IF(G85="NOT FOUND","",INDEX(Components!$F$2:$F$500,MATCH(F85,Components!$I$2:$I$500,0)))</f>
        <v>SUP-12</v>
      </c>
      <c r="P85" s="28" t="n">
        <f aca="false">SUMIFS(Sales!$G$2:$G$500,Sales!$I$2:$I$500,A85)</f>
        <v>646</v>
      </c>
      <c r="Q85" s="29" t="n">
        <f aca="false">IF(ISNUMBER(L85),L85*P85,"")</f>
        <v>445.74</v>
      </c>
      <c r="R85" s="15" t="str">
        <f aca="false">IF(G85="NOT FOUND","Unknown component; ","")&amp;IF(I85="NO FACTOR","No unit conversion; ","")&amp;IF(AND(G85&lt;&gt;"NOT FOUND",K85=""),"Missing cost; ","")&amp;IF(M85="UNKNOWN","Missing origin; ","")</f>
        <v/>
      </c>
      <c r="S85" s="15" t="str">
        <f aca="false">IF(R85="","OK","CHECK")</f>
        <v>OK</v>
      </c>
    </row>
    <row r="86" customFormat="false" ht="15" hidden="false" customHeight="false" outlineLevel="0" collapsed="false">
      <c r="A86" s="12" t="s">
        <v>129</v>
      </c>
      <c r="B86" s="12" t="n">
        <v>10</v>
      </c>
      <c r="C86" s="12" t="s">
        <v>176</v>
      </c>
      <c r="D86" s="25" t="n">
        <v>0.91</v>
      </c>
      <c r="E86" s="12" t="s">
        <v>66</v>
      </c>
      <c r="F86" s="15" t="str">
        <f aca="false">UPPER(TRIM(C86))</f>
        <v>CMT-GU</v>
      </c>
      <c r="G86" s="15" t="str">
        <f aca="false">IFERROR(INDEX(Components!$B$2:$B$500,MATCH(F86,Components!$I$2:$I$500,0)),"NOT FOUND")</f>
        <v>Portland cement Type GU</v>
      </c>
      <c r="H86" s="15" t="str">
        <f aca="false">IF(G86="NOT FOUND","",INDEX(Components!$C$2:$C$500,MATCH(F86,Components!$I$2:$I$500,0)))</f>
        <v>T</v>
      </c>
      <c r="I86" s="26" t="n">
        <f aca="false">IF(G86="NOT FOUND","",IF(E86=H86,1,IFERROR(INDEX(Unit_Factor,MATCH(E86&amp;"&gt;"&amp;H86,Unit_Key,0)),"NO FACTOR")))</f>
        <v>1</v>
      </c>
      <c r="J86" s="27" t="n">
        <f aca="false">IF(ISNUMBER(I86),D86*I86,"")</f>
        <v>0.91</v>
      </c>
      <c r="K86" s="24" t="n">
        <f aca="false">IF(G86="NOT FOUND","",INDEX(Components!$J$2:$J$500,MATCH(F86,Components!$I$2:$I$500,0)))</f>
        <v>235</v>
      </c>
      <c r="L86" s="24" t="n">
        <f aca="false">IF(AND(ISNUMBER(J86),ISNUMBER(K86)),J86*K86,"")</f>
        <v>213.85</v>
      </c>
      <c r="M86" s="15" t="str">
        <f aca="false">IF(G86="NOT FOUND","",IF(INDEX(Components!$G$2:$G$500,MATCH(F86,Components!$I$2:$I$500,0))="","UNKNOWN",INDEX(Components!$G$2:$G$500,MATCH(F86,Components!$I$2:$I$500,0))))</f>
        <v>CA</v>
      </c>
      <c r="N86" s="15" t="str">
        <f aca="false">IF(M86="","",IF(M86="UNKNOWN","Unknown",IF(M86=Home_Country,"Domestic","Imported")))</f>
        <v>Domestic</v>
      </c>
      <c r="O86" s="15" t="str">
        <f aca="false">IF(G86="NOT FOUND","",INDEX(Components!$F$2:$F$500,MATCH(F86,Components!$I$2:$I$500,0)))</f>
        <v>SUP-01</v>
      </c>
      <c r="P86" s="28" t="n">
        <f aca="false">SUMIFS(Sales!$G$2:$G$500,Sales!$I$2:$I$500,A86)</f>
        <v>696</v>
      </c>
      <c r="Q86" s="29" t="n">
        <f aca="false">IF(ISNUMBER(L86),L86*P86,"")</f>
        <v>148839.6</v>
      </c>
      <c r="R86" s="15" t="str">
        <f aca="false">IF(G86="NOT FOUND","Unknown component; ","")&amp;IF(I86="NO FACTOR","No unit conversion; ","")&amp;IF(AND(G86&lt;&gt;"NOT FOUND",K86=""),"Missing cost; ","")&amp;IF(M86="UNKNOWN","Missing origin; ","")</f>
        <v/>
      </c>
      <c r="S86" s="15" t="str">
        <f aca="false">IF(R86="","OK","CHECK")</f>
        <v>OK</v>
      </c>
    </row>
    <row r="87" customFormat="false" ht="15" hidden="false" customHeight="false" outlineLevel="0" collapsed="false">
      <c r="A87" s="12" t="s">
        <v>129</v>
      </c>
      <c r="B87" s="12" t="n">
        <v>20</v>
      </c>
      <c r="C87" s="12" t="s">
        <v>179</v>
      </c>
      <c r="D87" s="25" t="n">
        <v>0.182</v>
      </c>
      <c r="E87" s="12" t="s">
        <v>66</v>
      </c>
      <c r="F87" s="15" t="str">
        <f aca="false">UPPER(TRIM(C87))</f>
        <v>SCM-FA</v>
      </c>
      <c r="G87" s="15" t="str">
        <f aca="false">IFERROR(INDEX(Components!$B$2:$B$500,MATCH(F87,Components!$I$2:$I$500,0)),"NOT FOUND")</f>
        <v>Fly ash Class F</v>
      </c>
      <c r="H87" s="15" t="str">
        <f aca="false">IF(G87="NOT FOUND","",INDEX(Components!$C$2:$C$500,MATCH(F87,Components!$I$2:$I$500,0)))</f>
        <v>T</v>
      </c>
      <c r="I87" s="26" t="n">
        <f aca="false">IF(G87="NOT FOUND","",IF(E87=H87,1,IFERROR(INDEX(Unit_Factor,MATCH(E87&amp;"&gt;"&amp;H87,Unit_Key,0)),"NO FACTOR")))</f>
        <v>1</v>
      </c>
      <c r="J87" s="27" t="n">
        <f aca="false">IF(ISNUMBER(I87),D87*I87,"")</f>
        <v>0.182</v>
      </c>
      <c r="K87" s="24" t="n">
        <f aca="false">IF(G87="NOT FOUND","",INDEX(Components!$J$2:$J$500,MATCH(F87,Components!$I$2:$I$500,0)))</f>
        <v>98.64</v>
      </c>
      <c r="L87" s="24" t="n">
        <f aca="false">IF(AND(ISNUMBER(J87),ISNUMBER(K87)),J87*K87,"")</f>
        <v>17.95248</v>
      </c>
      <c r="M87" s="15" t="str">
        <f aca="false">IF(G87="NOT FOUND","",IF(INDEX(Components!$G$2:$G$500,MATCH(F87,Components!$I$2:$I$500,0))="","UNKNOWN",INDEX(Components!$G$2:$G$500,MATCH(F87,Components!$I$2:$I$500,0))))</f>
        <v>US</v>
      </c>
      <c r="N87" s="15" t="str">
        <f aca="false">IF(M87="","",IF(M87="UNKNOWN","Unknown",IF(M87=Home_Country,"Domestic","Imported")))</f>
        <v>Imported</v>
      </c>
      <c r="O87" s="15" t="str">
        <f aca="false">IF(G87="NOT FOUND","",INDEX(Components!$F$2:$F$500,MATCH(F87,Components!$I$2:$I$500,0)))</f>
        <v>SUP-02</v>
      </c>
      <c r="P87" s="28" t="n">
        <f aca="false">SUMIFS(Sales!$G$2:$G$500,Sales!$I$2:$I$500,A87)</f>
        <v>696</v>
      </c>
      <c r="Q87" s="29" t="n">
        <f aca="false">IF(ISNUMBER(L87),L87*P87,"")</f>
        <v>12494.92608</v>
      </c>
      <c r="R87" s="15" t="str">
        <f aca="false">IF(G87="NOT FOUND","Unknown component; ","")&amp;IF(I87="NO FACTOR","No unit conversion; ","")&amp;IF(AND(G87&lt;&gt;"NOT FOUND",K87=""),"Missing cost; ","")&amp;IF(M87="UNKNOWN","Missing origin; ","")</f>
        <v/>
      </c>
      <c r="S87" s="15" t="str">
        <f aca="false">IF(R87="","OK","CHECK")</f>
        <v>OK</v>
      </c>
    </row>
    <row r="88" customFormat="false" ht="15" hidden="false" customHeight="false" outlineLevel="0" collapsed="false">
      <c r="A88" s="12" t="s">
        <v>129</v>
      </c>
      <c r="B88" s="12" t="n">
        <v>30</v>
      </c>
      <c r="C88" s="12" t="s">
        <v>182</v>
      </c>
      <c r="D88" s="25" t="n">
        <v>2.73</v>
      </c>
      <c r="E88" s="12" t="s">
        <v>66</v>
      </c>
      <c r="F88" s="15" t="str">
        <f aca="false">UPPER(TRIM(C88))</f>
        <v>AGG-20</v>
      </c>
      <c r="G88" s="15" t="str">
        <f aca="false">IFERROR(INDEX(Components!$B$2:$B$500,MATCH(F88,Components!$I$2:$I$500,0)),"NOT FOUND")</f>
        <v>Coarse aggregate 20 mm</v>
      </c>
      <c r="H88" s="15" t="str">
        <f aca="false">IF(G88="NOT FOUND","",INDEX(Components!$C$2:$C$500,MATCH(F88,Components!$I$2:$I$500,0)))</f>
        <v>T</v>
      </c>
      <c r="I88" s="26" t="n">
        <f aca="false">IF(G88="NOT FOUND","",IF(E88=H88,1,IFERROR(INDEX(Unit_Factor,MATCH(E88&amp;"&gt;"&amp;H88,Unit_Key,0)),"NO FACTOR")))</f>
        <v>1</v>
      </c>
      <c r="J88" s="27" t="n">
        <f aca="false">IF(ISNUMBER(I88),D88*I88,"")</f>
        <v>2.73</v>
      </c>
      <c r="K88" s="24" t="n">
        <f aca="false">IF(G88="NOT FOUND","",INDEX(Components!$J$2:$J$500,MATCH(F88,Components!$I$2:$I$500,0)))</f>
        <v>28</v>
      </c>
      <c r="L88" s="24" t="n">
        <f aca="false">IF(AND(ISNUMBER(J88),ISNUMBER(K88)),J88*K88,"")</f>
        <v>76.44</v>
      </c>
      <c r="M88" s="15" t="str">
        <f aca="false">IF(G88="NOT FOUND","",IF(INDEX(Components!$G$2:$G$500,MATCH(F88,Components!$I$2:$I$500,0))="","UNKNOWN",INDEX(Components!$G$2:$G$500,MATCH(F88,Components!$I$2:$I$500,0))))</f>
        <v>CA</v>
      </c>
      <c r="N88" s="15" t="str">
        <f aca="false">IF(M88="","",IF(M88="UNKNOWN","Unknown",IF(M88=Home_Country,"Domestic","Imported")))</f>
        <v>Domestic</v>
      </c>
      <c r="O88" s="15" t="str">
        <f aca="false">IF(G88="NOT FOUND","",INDEX(Components!$F$2:$F$500,MATCH(F88,Components!$I$2:$I$500,0)))</f>
        <v>SUP-03</v>
      </c>
      <c r="P88" s="28" t="n">
        <f aca="false">SUMIFS(Sales!$G$2:$G$500,Sales!$I$2:$I$500,A88)</f>
        <v>696</v>
      </c>
      <c r="Q88" s="29" t="n">
        <f aca="false">IF(ISNUMBER(L88),L88*P88,"")</f>
        <v>53202.24</v>
      </c>
      <c r="R88" s="15" t="str">
        <f aca="false">IF(G88="NOT FOUND","Unknown component; ","")&amp;IF(I88="NO FACTOR","No unit conversion; ","")&amp;IF(AND(G88&lt;&gt;"NOT FOUND",K88=""),"Missing cost; ","")&amp;IF(M88="UNKNOWN","Missing origin; ","")</f>
        <v/>
      </c>
      <c r="S88" s="15" t="str">
        <f aca="false">IF(R88="","OK","CHECK")</f>
        <v>OK</v>
      </c>
    </row>
    <row r="89" customFormat="false" ht="15" hidden="false" customHeight="false" outlineLevel="0" collapsed="false">
      <c r="A89" s="12" t="s">
        <v>129</v>
      </c>
      <c r="B89" s="12" t="n">
        <v>40</v>
      </c>
      <c r="C89" s="12" t="s">
        <v>185</v>
      </c>
      <c r="D89" s="25" t="n">
        <v>1.95</v>
      </c>
      <c r="E89" s="12" t="s">
        <v>66</v>
      </c>
      <c r="F89" s="15" t="str">
        <f aca="false">UPPER(TRIM(C89))</f>
        <v>AGG-SND</v>
      </c>
      <c r="G89" s="15" t="str">
        <f aca="false">IFERROR(INDEX(Components!$B$2:$B$500,MATCH(F89,Components!$I$2:$I$500,0)),"NOT FOUND")</f>
        <v>Concrete sand</v>
      </c>
      <c r="H89" s="15" t="str">
        <f aca="false">IF(G89="NOT FOUND","",INDEX(Components!$C$2:$C$500,MATCH(F89,Components!$I$2:$I$500,0)))</f>
        <v>T</v>
      </c>
      <c r="I89" s="26" t="n">
        <f aca="false">IF(G89="NOT FOUND","",IF(E89=H89,1,IFERROR(INDEX(Unit_Factor,MATCH(E89&amp;"&gt;"&amp;H89,Unit_Key,0)),"NO FACTOR")))</f>
        <v>1</v>
      </c>
      <c r="J89" s="27" t="n">
        <f aca="false">IF(ISNUMBER(I89),D89*I89,"")</f>
        <v>1.95</v>
      </c>
      <c r="K89" s="24" t="n">
        <f aca="false">IF(G89="NOT FOUND","",INDEX(Components!$J$2:$J$500,MATCH(F89,Components!$I$2:$I$500,0)))</f>
        <v>24</v>
      </c>
      <c r="L89" s="24" t="n">
        <f aca="false">IF(AND(ISNUMBER(J89),ISNUMBER(K89)),J89*K89,"")</f>
        <v>46.8</v>
      </c>
      <c r="M89" s="15" t="str">
        <f aca="false">IF(G89="NOT FOUND","",IF(INDEX(Components!$G$2:$G$500,MATCH(F89,Components!$I$2:$I$500,0))="","UNKNOWN",INDEX(Components!$G$2:$G$500,MATCH(F89,Components!$I$2:$I$500,0))))</f>
        <v>CA</v>
      </c>
      <c r="N89" s="15" t="str">
        <f aca="false">IF(M89="","",IF(M89="UNKNOWN","Unknown",IF(M89=Home_Country,"Domestic","Imported")))</f>
        <v>Domestic</v>
      </c>
      <c r="O89" s="15" t="str">
        <f aca="false">IF(G89="NOT FOUND","",INDEX(Components!$F$2:$F$500,MATCH(F89,Components!$I$2:$I$500,0)))</f>
        <v>SUP-03</v>
      </c>
      <c r="P89" s="28" t="n">
        <f aca="false">SUMIFS(Sales!$G$2:$G$500,Sales!$I$2:$I$500,A89)</f>
        <v>696</v>
      </c>
      <c r="Q89" s="29" t="n">
        <f aca="false">IF(ISNUMBER(L89),L89*P89,"")</f>
        <v>32572.8</v>
      </c>
      <c r="R89" s="15" t="str">
        <f aca="false">IF(G89="NOT FOUND","Unknown component; ","")&amp;IF(I89="NO FACTOR","No unit conversion; ","")&amp;IF(AND(G89&lt;&gt;"NOT FOUND",K89=""),"Missing cost; ","")&amp;IF(M89="UNKNOWN","Missing origin; ","")</f>
        <v/>
      </c>
      <c r="S89" s="15" t="str">
        <f aca="false">IF(R89="","OK","CHECK")</f>
        <v>OK</v>
      </c>
    </row>
    <row r="90" customFormat="false" ht="15" hidden="false" customHeight="false" outlineLevel="0" collapsed="false">
      <c r="A90" s="12" t="s">
        <v>129</v>
      </c>
      <c r="B90" s="12" t="n">
        <v>50</v>
      </c>
      <c r="C90" s="12" t="s">
        <v>188</v>
      </c>
      <c r="D90" s="25" t="n">
        <v>5.2</v>
      </c>
      <c r="E90" s="12" t="s">
        <v>190</v>
      </c>
      <c r="F90" s="15" t="str">
        <f aca="false">UPPER(TRIM(C90))</f>
        <v>ADM-SP</v>
      </c>
      <c r="G90" s="15" t="str">
        <f aca="false">IFERROR(INDEX(Components!$B$2:$B$500,MATCH(F90,Components!$I$2:$I$500,0)),"NOT FOUND")</f>
        <v>Superplasticizer admixture</v>
      </c>
      <c r="H90" s="15" t="str">
        <f aca="false">IF(G90="NOT FOUND","",INDEX(Components!$C$2:$C$500,MATCH(F90,Components!$I$2:$I$500,0)))</f>
        <v>L</v>
      </c>
      <c r="I90" s="26" t="n">
        <f aca="false">IF(G90="NOT FOUND","",IF(E90=H90,1,IFERROR(INDEX(Unit_Factor,MATCH(E90&amp;"&gt;"&amp;H90,Unit_Key,0)),"NO FACTOR")))</f>
        <v>1</v>
      </c>
      <c r="J90" s="27" t="n">
        <f aca="false">IF(ISNUMBER(I90),D90*I90,"")</f>
        <v>5.2</v>
      </c>
      <c r="K90" s="24" t="n">
        <f aca="false">IF(G90="NOT FOUND","",INDEX(Components!$J$2:$J$500,MATCH(F90,Components!$I$2:$I$500,0)))</f>
        <v>4.247</v>
      </c>
      <c r="L90" s="24" t="n">
        <f aca="false">IF(AND(ISNUMBER(J90),ISNUMBER(K90)),J90*K90,"")</f>
        <v>22.0844</v>
      </c>
      <c r="M90" s="15" t="str">
        <f aca="false">IF(G90="NOT FOUND","",IF(INDEX(Components!$G$2:$G$500,MATCH(F90,Components!$I$2:$I$500,0))="","UNKNOWN",INDEX(Components!$G$2:$G$500,MATCH(F90,Components!$I$2:$I$500,0))))</f>
        <v>US</v>
      </c>
      <c r="N90" s="15" t="str">
        <f aca="false">IF(M90="","",IF(M90="UNKNOWN","Unknown",IF(M90=Home_Country,"Domestic","Imported")))</f>
        <v>Imported</v>
      </c>
      <c r="O90" s="15" t="str">
        <f aca="false">IF(G90="NOT FOUND","",INDEX(Components!$F$2:$F$500,MATCH(F90,Components!$I$2:$I$500,0)))</f>
        <v>SUP-04</v>
      </c>
      <c r="P90" s="28" t="n">
        <f aca="false">SUMIFS(Sales!$G$2:$G$500,Sales!$I$2:$I$500,A90)</f>
        <v>696</v>
      </c>
      <c r="Q90" s="29" t="n">
        <f aca="false">IF(ISNUMBER(L90),L90*P90,"")</f>
        <v>15370.7424</v>
      </c>
      <c r="R90" s="15" t="str">
        <f aca="false">IF(G90="NOT FOUND","Unknown component; ","")&amp;IF(I90="NO FACTOR","No unit conversion; ","")&amp;IF(AND(G90&lt;&gt;"NOT FOUND",K90=""),"Missing cost; ","")&amp;IF(M90="UNKNOWN","Missing origin; ","")</f>
        <v/>
      </c>
      <c r="S90" s="15" t="str">
        <f aca="false">IF(R90="","OK","CHECK")</f>
        <v>OK</v>
      </c>
    </row>
    <row r="91" customFormat="false" ht="15" hidden="false" customHeight="false" outlineLevel="0" collapsed="false">
      <c r="A91" s="12" t="s">
        <v>129</v>
      </c>
      <c r="B91" s="12" t="n">
        <v>60</v>
      </c>
      <c r="C91" s="12" t="s">
        <v>192</v>
      </c>
      <c r="D91" s="25" t="n">
        <v>1.04</v>
      </c>
      <c r="E91" s="12" t="s">
        <v>190</v>
      </c>
      <c r="F91" s="15" t="str">
        <f aca="false">UPPER(TRIM(C91))</f>
        <v>ADM-AE</v>
      </c>
      <c r="G91" s="15" t="str">
        <f aca="false">IFERROR(INDEX(Components!$B$2:$B$500,MATCH(F91,Components!$I$2:$I$500,0)),"NOT FOUND")</f>
        <v>Air-entraining admixture</v>
      </c>
      <c r="H91" s="15" t="str">
        <f aca="false">IF(G91="NOT FOUND","",INDEX(Components!$C$2:$C$500,MATCH(F91,Components!$I$2:$I$500,0)))</f>
        <v>L</v>
      </c>
      <c r="I91" s="26" t="n">
        <f aca="false">IF(G91="NOT FOUND","",IF(E91=H91,1,IFERROR(INDEX(Unit_Factor,MATCH(E91&amp;"&gt;"&amp;H91,Unit_Key,0)),"NO FACTOR")))</f>
        <v>1</v>
      </c>
      <c r="J91" s="27" t="n">
        <f aca="false">IF(ISNUMBER(I91),D91*I91,"")</f>
        <v>1.04</v>
      </c>
      <c r="K91" s="24" t="n">
        <f aca="false">IF(G91="NOT FOUND","",INDEX(Components!$J$2:$J$500,MATCH(F91,Components!$I$2:$I$500,0)))</f>
        <v>3.288</v>
      </c>
      <c r="L91" s="24" t="n">
        <f aca="false">IF(AND(ISNUMBER(J91),ISNUMBER(K91)),J91*K91,"")</f>
        <v>3.41952</v>
      </c>
      <c r="M91" s="15" t="str">
        <f aca="false">IF(G91="NOT FOUND","",IF(INDEX(Components!$G$2:$G$500,MATCH(F91,Components!$I$2:$I$500,0))="","UNKNOWN",INDEX(Components!$G$2:$G$500,MATCH(F91,Components!$I$2:$I$500,0))))</f>
        <v>US</v>
      </c>
      <c r="N91" s="15" t="str">
        <f aca="false">IF(M91="","",IF(M91="UNKNOWN","Unknown",IF(M91=Home_Country,"Domestic","Imported")))</f>
        <v>Imported</v>
      </c>
      <c r="O91" s="15" t="str">
        <f aca="false">IF(G91="NOT FOUND","",INDEX(Components!$F$2:$F$500,MATCH(F91,Components!$I$2:$I$500,0)))</f>
        <v>SUP-04</v>
      </c>
      <c r="P91" s="28" t="n">
        <f aca="false">SUMIFS(Sales!$G$2:$G$500,Sales!$I$2:$I$500,A91)</f>
        <v>696</v>
      </c>
      <c r="Q91" s="29" t="n">
        <f aca="false">IF(ISNUMBER(L91),L91*P91,"")</f>
        <v>2379.98592</v>
      </c>
      <c r="R91" s="15" t="str">
        <f aca="false">IF(G91="NOT FOUND","Unknown component; ","")&amp;IF(I91="NO FACTOR","No unit conversion; ","")&amp;IF(AND(G91&lt;&gt;"NOT FOUND",K91=""),"Missing cost; ","")&amp;IF(M91="UNKNOWN","Missing origin; ","")</f>
        <v/>
      </c>
      <c r="S91" s="15" t="str">
        <f aca="false">IF(R91="","OK","CHECK")</f>
        <v>OK</v>
      </c>
    </row>
    <row r="92" customFormat="false" ht="15" hidden="false" customHeight="false" outlineLevel="0" collapsed="false">
      <c r="A92" s="12" t="s">
        <v>129</v>
      </c>
      <c r="B92" s="12" t="n">
        <v>70</v>
      </c>
      <c r="C92" s="12" t="s">
        <v>198</v>
      </c>
      <c r="D92" s="25" t="n">
        <v>120</v>
      </c>
      <c r="E92" s="12" t="s">
        <v>62</v>
      </c>
      <c r="F92" s="15" t="str">
        <f aca="false">UPPER(TRIM(C92))</f>
        <v>RB-15M</v>
      </c>
      <c r="G92" s="15" t="str">
        <f aca="false">IFERROR(INDEX(Components!$B$2:$B$500,MATCH(F92,Components!$I$2:$I$500,0)),"NOT FOUND")</f>
        <v>Rebar 15M</v>
      </c>
      <c r="H92" s="15" t="str">
        <f aca="false">IF(G92="NOT FOUND","",INDEX(Components!$C$2:$C$500,MATCH(F92,Components!$I$2:$I$500,0)))</f>
        <v>KG</v>
      </c>
      <c r="I92" s="26" t="n">
        <f aca="false">IF(G92="NOT FOUND","",IF(E92=H92,1,IFERROR(INDEX(Unit_Factor,MATCH(E92&amp;"&gt;"&amp;H92,Unit_Key,0)),"NO FACTOR")))</f>
        <v>1</v>
      </c>
      <c r="J92" s="27" t="n">
        <f aca="false">IF(ISNUMBER(I92),D92*I92,"")</f>
        <v>120</v>
      </c>
      <c r="K92" s="24" t="n">
        <f aca="false">IF(G92="NOT FOUND","",INDEX(Components!$J$2:$J$500,MATCH(F92,Components!$I$2:$I$500,0)))</f>
        <v>1.31</v>
      </c>
      <c r="L92" s="24" t="n">
        <f aca="false">IF(AND(ISNUMBER(J92),ISNUMBER(K92)),J92*K92,"")</f>
        <v>157.2</v>
      </c>
      <c r="M92" s="15" t="str">
        <f aca="false">IF(G92="NOT FOUND","",IF(INDEX(Components!$G$2:$G$500,MATCH(F92,Components!$I$2:$I$500,0))="","UNKNOWN",INDEX(Components!$G$2:$G$500,MATCH(F92,Components!$I$2:$I$500,0))))</f>
        <v>CA</v>
      </c>
      <c r="N92" s="15" t="str">
        <f aca="false">IF(M92="","",IF(M92="UNKNOWN","Unknown",IF(M92=Home_Country,"Domestic","Imported")))</f>
        <v>Domestic</v>
      </c>
      <c r="O92" s="15" t="str">
        <f aca="false">IF(G92="NOT FOUND","",INDEX(Components!$F$2:$F$500,MATCH(F92,Components!$I$2:$I$500,0)))</f>
        <v>SUP-05</v>
      </c>
      <c r="P92" s="28" t="n">
        <f aca="false">SUMIFS(Sales!$G$2:$G$500,Sales!$I$2:$I$500,A92)</f>
        <v>696</v>
      </c>
      <c r="Q92" s="29" t="n">
        <f aca="false">IF(ISNUMBER(L92),L92*P92,"")</f>
        <v>109411.2</v>
      </c>
      <c r="R92" s="15" t="str">
        <f aca="false">IF(G92="NOT FOUND","Unknown component; ","")&amp;IF(I92="NO FACTOR","No unit conversion; ","")&amp;IF(AND(G92&lt;&gt;"NOT FOUND",K92=""),"Missing cost; ","")&amp;IF(M92="UNKNOWN","Missing origin; ","")</f>
        <v/>
      </c>
      <c r="S92" s="15" t="str">
        <f aca="false">IF(R92="","OK","CHECK")</f>
        <v>OK</v>
      </c>
    </row>
    <row r="93" customFormat="false" ht="15" hidden="false" customHeight="false" outlineLevel="0" collapsed="false">
      <c r="A93" s="12" t="s">
        <v>129</v>
      </c>
      <c r="B93" s="12" t="n">
        <v>80</v>
      </c>
      <c r="C93" s="12" t="s">
        <v>200</v>
      </c>
      <c r="D93" s="25" t="n">
        <v>40</v>
      </c>
      <c r="E93" s="12" t="s">
        <v>62</v>
      </c>
      <c r="F93" s="15" t="str">
        <f aca="false">UPPER(TRIM(C93))</f>
        <v>RB-20M</v>
      </c>
      <c r="G93" s="15" t="str">
        <f aca="false">IFERROR(INDEX(Components!$B$2:$B$500,MATCH(F93,Components!$I$2:$I$500,0)),"NOT FOUND")</f>
        <v>Rebar 20M</v>
      </c>
      <c r="H93" s="15" t="str">
        <f aca="false">IF(G93="NOT FOUND","",INDEX(Components!$C$2:$C$500,MATCH(F93,Components!$I$2:$I$500,0)))</f>
        <v>KG</v>
      </c>
      <c r="I93" s="26" t="n">
        <f aca="false">IF(G93="NOT FOUND","",IF(E93=H93,1,IFERROR(INDEX(Unit_Factor,MATCH(E93&amp;"&gt;"&amp;H93,Unit_Key,0)),"NO FACTOR")))</f>
        <v>1</v>
      </c>
      <c r="J93" s="27" t="n">
        <f aca="false">IF(ISNUMBER(I93),D93*I93,"")</f>
        <v>40</v>
      </c>
      <c r="K93" s="24" t="n">
        <f aca="false">IF(G93="NOT FOUND","",INDEX(Components!$J$2:$J$500,MATCH(F93,Components!$I$2:$I$500,0)))</f>
        <v>1.2741</v>
      </c>
      <c r="L93" s="24" t="n">
        <f aca="false">IF(AND(ISNUMBER(J93),ISNUMBER(K93)),J93*K93,"")</f>
        <v>50.964</v>
      </c>
      <c r="M93" s="15" t="str">
        <f aca="false">IF(G93="NOT FOUND","",IF(INDEX(Components!$G$2:$G$500,MATCH(F93,Components!$I$2:$I$500,0))="","UNKNOWN",INDEX(Components!$G$2:$G$500,MATCH(F93,Components!$I$2:$I$500,0))))</f>
        <v>TR</v>
      </c>
      <c r="N93" s="15" t="str">
        <f aca="false">IF(M93="","",IF(M93="UNKNOWN","Unknown",IF(M93=Home_Country,"Domestic","Imported")))</f>
        <v>Imported</v>
      </c>
      <c r="O93" s="15" t="str">
        <f aca="false">IF(G93="NOT FOUND","",INDEX(Components!$F$2:$F$500,MATCH(F93,Components!$I$2:$I$500,0)))</f>
        <v>SUP-06</v>
      </c>
      <c r="P93" s="28" t="n">
        <f aca="false">SUMIFS(Sales!$G$2:$G$500,Sales!$I$2:$I$500,A93)</f>
        <v>696</v>
      </c>
      <c r="Q93" s="29" t="n">
        <f aca="false">IF(ISNUMBER(L93),L93*P93,"")</f>
        <v>35470.944</v>
      </c>
      <c r="R93" s="15" t="str">
        <f aca="false">IF(G93="NOT FOUND","Unknown component; ","")&amp;IF(I93="NO FACTOR","No unit conversion; ","")&amp;IF(AND(G93&lt;&gt;"NOT FOUND",K93=""),"Missing cost; ","")&amp;IF(M93="UNKNOWN","Missing origin; ","")</f>
        <v/>
      </c>
      <c r="S93" s="15" t="str">
        <f aca="false">IF(R93="","OK","CHECK")</f>
        <v>OK</v>
      </c>
    </row>
    <row r="94" customFormat="false" ht="15" hidden="false" customHeight="false" outlineLevel="0" collapsed="false">
      <c r="A94" s="12" t="s">
        <v>129</v>
      </c>
      <c r="B94" s="12" t="n">
        <v>90</v>
      </c>
      <c r="C94" s="12" t="s">
        <v>215</v>
      </c>
      <c r="D94" s="25" t="n">
        <v>2</v>
      </c>
      <c r="E94" s="12" t="s">
        <v>106</v>
      </c>
      <c r="F94" s="15" t="str">
        <f aca="false">UPPER(TRIM(C94))</f>
        <v>LFT-ANC</v>
      </c>
      <c r="G94" s="15" t="str">
        <f aca="false">IFERROR(INDEX(Components!$B$2:$B$500,MATCH(F94,Components!$I$2:$I$500,0)),"NOT FOUND")</f>
        <v>Lifting anchor 2.5 t</v>
      </c>
      <c r="H94" s="15" t="str">
        <f aca="false">IF(G94="NOT FOUND","",INDEX(Components!$C$2:$C$500,MATCH(F94,Components!$I$2:$I$500,0)))</f>
        <v>EA</v>
      </c>
      <c r="I94" s="26" t="n">
        <f aca="false">IF(G94="NOT FOUND","",IF(E94=H94,1,IFERROR(INDEX(Unit_Factor,MATCH(E94&amp;"&gt;"&amp;H94,Unit_Key,0)),"NO FACTOR")))</f>
        <v>1</v>
      </c>
      <c r="J94" s="27" t="n">
        <f aca="false">IF(ISNUMBER(I94),D94*I94,"")</f>
        <v>2</v>
      </c>
      <c r="K94" s="24" t="n">
        <f aca="false">IF(G94="NOT FOUND","",INDEX(Components!$J$2:$J$500,MATCH(F94,Components!$I$2:$I$500,0)))</f>
        <v>6.9</v>
      </c>
      <c r="L94" s="24" t="n">
        <f aca="false">IF(AND(ISNUMBER(J94),ISNUMBER(K94)),J94*K94,"")</f>
        <v>13.8</v>
      </c>
      <c r="M94" s="15" t="str">
        <f aca="false">IF(G94="NOT FOUND","",IF(INDEX(Components!$G$2:$G$500,MATCH(F94,Components!$I$2:$I$500,0))="","UNKNOWN",INDEX(Components!$G$2:$G$500,MATCH(F94,Components!$I$2:$I$500,0))))</f>
        <v>DE</v>
      </c>
      <c r="N94" s="15" t="str">
        <f aca="false">IF(M94="","",IF(M94="UNKNOWN","Unknown",IF(M94=Home_Country,"Domestic","Imported")))</f>
        <v>Imported</v>
      </c>
      <c r="O94" s="15" t="str">
        <f aca="false">IF(G94="NOT FOUND","",INDEX(Components!$F$2:$F$500,MATCH(F94,Components!$I$2:$I$500,0)))</f>
        <v>SUP-10</v>
      </c>
      <c r="P94" s="28" t="n">
        <f aca="false">SUMIFS(Sales!$G$2:$G$500,Sales!$I$2:$I$500,A94)</f>
        <v>696</v>
      </c>
      <c r="Q94" s="29" t="n">
        <f aca="false">IF(ISNUMBER(L94),L94*P94,"")</f>
        <v>9604.8</v>
      </c>
      <c r="R94" s="15" t="str">
        <f aca="false">IF(G94="NOT FOUND","Unknown component; ","")&amp;IF(I94="NO FACTOR","No unit conversion; ","")&amp;IF(AND(G94&lt;&gt;"NOT FOUND",K94=""),"Missing cost; ","")&amp;IF(M94="UNKNOWN","Missing origin; ","")</f>
        <v/>
      </c>
      <c r="S94" s="15" t="str">
        <f aca="false">IF(R94="","OK","CHECK")</f>
        <v>OK</v>
      </c>
    </row>
    <row r="95" customFormat="false" ht="15" hidden="false" customHeight="false" outlineLevel="0" collapsed="false">
      <c r="A95" s="12" t="s">
        <v>129</v>
      </c>
      <c r="B95" s="12" t="n">
        <v>100</v>
      </c>
      <c r="C95" s="12" t="s">
        <v>223</v>
      </c>
      <c r="D95" s="25" t="n">
        <v>2</v>
      </c>
      <c r="E95" s="12" t="s">
        <v>225</v>
      </c>
      <c r="F95" s="15" t="str">
        <f aca="false">UPPER(TRIM(C95))</f>
        <v>SEAL-BUT</v>
      </c>
      <c r="G95" s="15" t="str">
        <f aca="false">IFERROR(INDEX(Components!$B$2:$B$500,MATCH(F95,Components!$I$2:$I$500,0)),"NOT FOUND")</f>
        <v>Butyl joint sealant</v>
      </c>
      <c r="H95" s="15" t="str">
        <f aca="false">IF(G95="NOT FOUND","",INDEX(Components!$C$2:$C$500,MATCH(F95,Components!$I$2:$I$500,0)))</f>
        <v>M</v>
      </c>
      <c r="I95" s="26" t="n">
        <f aca="false">IF(G95="NOT FOUND","",IF(E95=H95,1,IFERROR(INDEX(Unit_Factor,MATCH(E95&amp;"&gt;"&amp;H95,Unit_Key,0)),"NO FACTOR")))</f>
        <v>1</v>
      </c>
      <c r="J95" s="27" t="n">
        <f aca="false">IF(ISNUMBER(I95),D95*I95,"")</f>
        <v>2</v>
      </c>
      <c r="K95" s="24" t="str">
        <f aca="false">IF(G95="NOT FOUND","",INDEX(Components!$J$2:$J$500,MATCH(F95,Components!$I$2:$I$500,0)))</f>
        <v/>
      </c>
      <c r="L95" s="24" t="str">
        <f aca="false">IF(AND(ISNUMBER(J95),ISNUMBER(K95)),J95*K95,"")</f>
        <v/>
      </c>
      <c r="M95" s="15" t="str">
        <f aca="false">IF(G95="NOT FOUND","",IF(INDEX(Components!$G$2:$G$500,MATCH(F95,Components!$I$2:$I$500,0))="","UNKNOWN",INDEX(Components!$G$2:$G$500,MATCH(F95,Components!$I$2:$I$500,0))))</f>
        <v>CA</v>
      </c>
      <c r="N95" s="15" t="str">
        <f aca="false">IF(M95="","",IF(M95="UNKNOWN","Unknown",IF(M95=Home_Country,"Domestic","Imported")))</f>
        <v>Domestic</v>
      </c>
      <c r="O95" s="15" t="str">
        <f aca="false">IF(G95="NOT FOUND","",INDEX(Components!$F$2:$F$500,MATCH(F95,Components!$I$2:$I$500,0)))</f>
        <v>SUP-12</v>
      </c>
      <c r="P95" s="28" t="n">
        <f aca="false">SUMIFS(Sales!$G$2:$G$500,Sales!$I$2:$I$500,A95)</f>
        <v>696</v>
      </c>
      <c r="Q95" s="29" t="str">
        <f aca="false">IF(ISNUMBER(L95),L95*P95,"")</f>
        <v/>
      </c>
      <c r="R95" s="15" t="str">
        <f aca="false">IF(G95="NOT FOUND","Unknown component; ","")&amp;IF(I95="NO FACTOR","No unit conversion; ","")&amp;IF(AND(G95&lt;&gt;"NOT FOUND",K95=""),"Missing cost; ","")&amp;IF(M95="UNKNOWN","Missing origin; ","")</f>
        <v>Missing cost; </v>
      </c>
      <c r="S95" s="15" t="str">
        <f aca="false">IF(R95="","OK","CHECK")</f>
        <v>CHECK</v>
      </c>
    </row>
    <row r="96" customFormat="false" ht="15" hidden="false" customHeight="false" outlineLevel="0" collapsed="false">
      <c r="A96" s="12" t="s">
        <v>129</v>
      </c>
      <c r="B96" s="12" t="n">
        <v>110</v>
      </c>
      <c r="C96" s="12" t="s">
        <v>227</v>
      </c>
      <c r="D96" s="25" t="n">
        <v>0.9</v>
      </c>
      <c r="E96" s="12" t="s">
        <v>190</v>
      </c>
      <c r="F96" s="15" t="str">
        <f aca="false">UPPER(TRIM(C96))</f>
        <v>FRM-OIL</v>
      </c>
      <c r="G96" s="15" t="str">
        <f aca="false">IFERROR(INDEX(Components!$B$2:$B$500,MATCH(F96,Components!$I$2:$I$500,0)),"NOT FOUND")</f>
        <v>Form release agent</v>
      </c>
      <c r="H96" s="15" t="str">
        <f aca="false">IF(G96="NOT FOUND","",INDEX(Components!$C$2:$C$500,MATCH(F96,Components!$I$2:$I$500,0)))</f>
        <v>L</v>
      </c>
      <c r="I96" s="26" t="n">
        <f aca="false">IF(G96="NOT FOUND","",IF(E96=H96,1,IFERROR(INDEX(Unit_Factor,MATCH(E96&amp;"&gt;"&amp;H96,Unit_Key,0)),"NO FACTOR")))</f>
        <v>1</v>
      </c>
      <c r="J96" s="27" t="n">
        <f aca="false">IF(ISNUMBER(I96),D96*I96,"")</f>
        <v>0.9</v>
      </c>
      <c r="K96" s="24" t="n">
        <f aca="false">IF(G96="NOT FOUND","",INDEX(Components!$J$2:$J$500,MATCH(F96,Components!$I$2:$I$500,0)))</f>
        <v>1.15</v>
      </c>
      <c r="L96" s="24" t="n">
        <f aca="false">IF(AND(ISNUMBER(J96),ISNUMBER(K96)),J96*K96,"")</f>
        <v>1.035</v>
      </c>
      <c r="M96" s="15" t="str">
        <f aca="false">IF(G96="NOT FOUND","",IF(INDEX(Components!$G$2:$G$500,MATCH(F96,Components!$I$2:$I$500,0))="","UNKNOWN",INDEX(Components!$G$2:$G$500,MATCH(F96,Components!$I$2:$I$500,0))))</f>
        <v>CA</v>
      </c>
      <c r="N96" s="15" t="str">
        <f aca="false">IF(M96="","",IF(M96="UNKNOWN","Unknown",IF(M96=Home_Country,"Domestic","Imported")))</f>
        <v>Domestic</v>
      </c>
      <c r="O96" s="15" t="str">
        <f aca="false">IF(G96="NOT FOUND","",INDEX(Components!$F$2:$F$500,MATCH(F96,Components!$I$2:$I$500,0)))</f>
        <v>SUP-12</v>
      </c>
      <c r="P96" s="28" t="n">
        <f aca="false">SUMIFS(Sales!$G$2:$G$500,Sales!$I$2:$I$500,A96)</f>
        <v>696</v>
      </c>
      <c r="Q96" s="29" t="n">
        <f aca="false">IF(ISNUMBER(L96),L96*P96,"")</f>
        <v>720.36</v>
      </c>
      <c r="R96" s="15" t="str">
        <f aca="false">IF(G96="NOT FOUND","Unknown component; ","")&amp;IF(I96="NO FACTOR","No unit conversion; ","")&amp;IF(AND(G96&lt;&gt;"NOT FOUND",K96=""),"Missing cost; ","")&amp;IF(M96="UNKNOWN","Missing origin; ","")</f>
        <v/>
      </c>
      <c r="S96" s="15" t="str">
        <f aca="false">IF(R96="","OK","CHECK")</f>
        <v>OK</v>
      </c>
    </row>
    <row r="97" customFormat="false" ht="15" hidden="false" customHeight="false" outlineLevel="0" collapsed="false">
      <c r="A97" s="12" t="s">
        <v>131</v>
      </c>
      <c r="B97" s="12" t="n">
        <v>10</v>
      </c>
      <c r="C97" s="12" t="s">
        <v>176</v>
      </c>
      <c r="D97" s="25" t="n">
        <v>0.0455</v>
      </c>
      <c r="E97" s="12" t="s">
        <v>66</v>
      </c>
      <c r="F97" s="15" t="str">
        <f aca="false">UPPER(TRIM(C97))</f>
        <v>CMT-GU</v>
      </c>
      <c r="G97" s="15" t="str">
        <f aca="false">IFERROR(INDEX(Components!$B$2:$B$500,MATCH(F97,Components!$I$2:$I$500,0)),"NOT FOUND")</f>
        <v>Portland cement Type GU</v>
      </c>
      <c r="H97" s="15" t="str">
        <f aca="false">IF(G97="NOT FOUND","",INDEX(Components!$C$2:$C$500,MATCH(F97,Components!$I$2:$I$500,0)))</f>
        <v>T</v>
      </c>
      <c r="I97" s="26" t="n">
        <f aca="false">IF(G97="NOT FOUND","",IF(E97=H97,1,IFERROR(INDEX(Unit_Factor,MATCH(E97&amp;"&gt;"&amp;H97,Unit_Key,0)),"NO FACTOR")))</f>
        <v>1</v>
      </c>
      <c r="J97" s="27" t="n">
        <f aca="false">IF(ISNUMBER(I97),D97*I97,"")</f>
        <v>0.0455</v>
      </c>
      <c r="K97" s="24" t="n">
        <f aca="false">IF(G97="NOT FOUND","",INDEX(Components!$J$2:$J$500,MATCH(F97,Components!$I$2:$I$500,0)))</f>
        <v>235</v>
      </c>
      <c r="L97" s="24" t="n">
        <f aca="false">IF(AND(ISNUMBER(J97),ISNUMBER(K97)),J97*K97,"")</f>
        <v>10.6925</v>
      </c>
      <c r="M97" s="15" t="str">
        <f aca="false">IF(G97="NOT FOUND","",IF(INDEX(Components!$G$2:$G$500,MATCH(F97,Components!$I$2:$I$500,0))="","UNKNOWN",INDEX(Components!$G$2:$G$500,MATCH(F97,Components!$I$2:$I$500,0))))</f>
        <v>CA</v>
      </c>
      <c r="N97" s="15" t="str">
        <f aca="false">IF(M97="","",IF(M97="UNKNOWN","Unknown",IF(M97=Home_Country,"Domestic","Imported")))</f>
        <v>Domestic</v>
      </c>
      <c r="O97" s="15" t="str">
        <f aca="false">IF(G97="NOT FOUND","",INDEX(Components!$F$2:$F$500,MATCH(F97,Components!$I$2:$I$500,0)))</f>
        <v>SUP-01</v>
      </c>
      <c r="P97" s="28" t="n">
        <f aca="false">SUMIFS(Sales!$G$2:$G$500,Sales!$I$2:$I$500,A97)</f>
        <v>5458</v>
      </c>
      <c r="Q97" s="29" t="n">
        <f aca="false">IF(ISNUMBER(L97),L97*P97,"")</f>
        <v>58359.665</v>
      </c>
      <c r="R97" s="15" t="str">
        <f aca="false">IF(G97="NOT FOUND","Unknown component; ","")&amp;IF(I97="NO FACTOR","No unit conversion; ","")&amp;IF(AND(G97&lt;&gt;"NOT FOUND",K97=""),"Missing cost; ","")&amp;IF(M97="UNKNOWN","Missing origin; ","")</f>
        <v/>
      </c>
      <c r="S97" s="15" t="str">
        <f aca="false">IF(R97="","OK","CHECK")</f>
        <v>OK</v>
      </c>
    </row>
    <row r="98" customFormat="false" ht="15" hidden="false" customHeight="false" outlineLevel="0" collapsed="false">
      <c r="A98" s="12" t="s">
        <v>131</v>
      </c>
      <c r="B98" s="12" t="n">
        <v>20</v>
      </c>
      <c r="C98" s="12" t="s">
        <v>179</v>
      </c>
      <c r="D98" s="25" t="n">
        <v>0.0091</v>
      </c>
      <c r="E98" s="12" t="s">
        <v>66</v>
      </c>
      <c r="F98" s="15" t="str">
        <f aca="false">UPPER(TRIM(C98))</f>
        <v>SCM-FA</v>
      </c>
      <c r="G98" s="15" t="str">
        <f aca="false">IFERROR(INDEX(Components!$B$2:$B$500,MATCH(F98,Components!$I$2:$I$500,0)),"NOT FOUND")</f>
        <v>Fly ash Class F</v>
      </c>
      <c r="H98" s="15" t="str">
        <f aca="false">IF(G98="NOT FOUND","",INDEX(Components!$C$2:$C$500,MATCH(F98,Components!$I$2:$I$500,0)))</f>
        <v>T</v>
      </c>
      <c r="I98" s="26" t="n">
        <f aca="false">IF(G98="NOT FOUND","",IF(E98=H98,1,IFERROR(INDEX(Unit_Factor,MATCH(E98&amp;"&gt;"&amp;H98,Unit_Key,0)),"NO FACTOR")))</f>
        <v>1</v>
      </c>
      <c r="J98" s="27" t="n">
        <f aca="false">IF(ISNUMBER(I98),D98*I98,"")</f>
        <v>0.0091</v>
      </c>
      <c r="K98" s="24" t="n">
        <f aca="false">IF(G98="NOT FOUND","",INDEX(Components!$J$2:$J$500,MATCH(F98,Components!$I$2:$I$500,0)))</f>
        <v>98.64</v>
      </c>
      <c r="L98" s="24" t="n">
        <f aca="false">IF(AND(ISNUMBER(J98),ISNUMBER(K98)),J98*K98,"")</f>
        <v>0.897624</v>
      </c>
      <c r="M98" s="15" t="str">
        <f aca="false">IF(G98="NOT FOUND","",IF(INDEX(Components!$G$2:$G$500,MATCH(F98,Components!$I$2:$I$500,0))="","UNKNOWN",INDEX(Components!$G$2:$G$500,MATCH(F98,Components!$I$2:$I$500,0))))</f>
        <v>US</v>
      </c>
      <c r="N98" s="15" t="str">
        <f aca="false">IF(M98="","",IF(M98="UNKNOWN","Unknown",IF(M98=Home_Country,"Domestic","Imported")))</f>
        <v>Imported</v>
      </c>
      <c r="O98" s="15" t="str">
        <f aca="false">IF(G98="NOT FOUND","",INDEX(Components!$F$2:$F$500,MATCH(F98,Components!$I$2:$I$500,0)))</f>
        <v>SUP-02</v>
      </c>
      <c r="P98" s="28" t="n">
        <f aca="false">SUMIFS(Sales!$G$2:$G$500,Sales!$I$2:$I$500,A98)</f>
        <v>5458</v>
      </c>
      <c r="Q98" s="29" t="n">
        <f aca="false">IF(ISNUMBER(L98),L98*P98,"")</f>
        <v>4899.231792</v>
      </c>
      <c r="R98" s="15" t="str">
        <f aca="false">IF(G98="NOT FOUND","Unknown component; ","")&amp;IF(I98="NO FACTOR","No unit conversion; ","")&amp;IF(AND(G98&lt;&gt;"NOT FOUND",K98=""),"Missing cost; ","")&amp;IF(M98="UNKNOWN","Missing origin; ","")</f>
        <v/>
      </c>
      <c r="S98" s="15" t="str">
        <f aca="false">IF(R98="","OK","CHECK")</f>
        <v>OK</v>
      </c>
    </row>
    <row r="99" customFormat="false" ht="15" hidden="false" customHeight="false" outlineLevel="0" collapsed="false">
      <c r="A99" s="12" t="s">
        <v>131</v>
      </c>
      <c r="B99" s="12" t="n">
        <v>30</v>
      </c>
      <c r="C99" s="12" t="s">
        <v>182</v>
      </c>
      <c r="D99" s="25" t="n">
        <v>0.1365</v>
      </c>
      <c r="E99" s="12" t="s">
        <v>66</v>
      </c>
      <c r="F99" s="15" t="str">
        <f aca="false">UPPER(TRIM(C99))</f>
        <v>AGG-20</v>
      </c>
      <c r="G99" s="15" t="str">
        <f aca="false">IFERROR(INDEX(Components!$B$2:$B$500,MATCH(F99,Components!$I$2:$I$500,0)),"NOT FOUND")</f>
        <v>Coarse aggregate 20 mm</v>
      </c>
      <c r="H99" s="15" t="str">
        <f aca="false">IF(G99="NOT FOUND","",INDEX(Components!$C$2:$C$500,MATCH(F99,Components!$I$2:$I$500,0)))</f>
        <v>T</v>
      </c>
      <c r="I99" s="26" t="n">
        <f aca="false">IF(G99="NOT FOUND","",IF(E99=H99,1,IFERROR(INDEX(Unit_Factor,MATCH(E99&amp;"&gt;"&amp;H99,Unit_Key,0)),"NO FACTOR")))</f>
        <v>1</v>
      </c>
      <c r="J99" s="27" t="n">
        <f aca="false">IF(ISNUMBER(I99),D99*I99,"")</f>
        <v>0.1365</v>
      </c>
      <c r="K99" s="24" t="n">
        <f aca="false">IF(G99="NOT FOUND","",INDEX(Components!$J$2:$J$500,MATCH(F99,Components!$I$2:$I$500,0)))</f>
        <v>28</v>
      </c>
      <c r="L99" s="24" t="n">
        <f aca="false">IF(AND(ISNUMBER(J99),ISNUMBER(K99)),J99*K99,"")</f>
        <v>3.822</v>
      </c>
      <c r="M99" s="15" t="str">
        <f aca="false">IF(G99="NOT FOUND","",IF(INDEX(Components!$G$2:$G$500,MATCH(F99,Components!$I$2:$I$500,0))="","UNKNOWN",INDEX(Components!$G$2:$G$500,MATCH(F99,Components!$I$2:$I$500,0))))</f>
        <v>CA</v>
      </c>
      <c r="N99" s="15" t="str">
        <f aca="false">IF(M99="","",IF(M99="UNKNOWN","Unknown",IF(M99=Home_Country,"Domestic","Imported")))</f>
        <v>Domestic</v>
      </c>
      <c r="O99" s="15" t="str">
        <f aca="false">IF(G99="NOT FOUND","",INDEX(Components!$F$2:$F$500,MATCH(F99,Components!$I$2:$I$500,0)))</f>
        <v>SUP-03</v>
      </c>
      <c r="P99" s="28" t="n">
        <f aca="false">SUMIFS(Sales!$G$2:$G$500,Sales!$I$2:$I$500,A99)</f>
        <v>5458</v>
      </c>
      <c r="Q99" s="29" t="n">
        <f aca="false">IF(ISNUMBER(L99),L99*P99,"")</f>
        <v>20860.476</v>
      </c>
      <c r="R99" s="15" t="str">
        <f aca="false">IF(G99="NOT FOUND","Unknown component; ","")&amp;IF(I99="NO FACTOR","No unit conversion; ","")&amp;IF(AND(G99&lt;&gt;"NOT FOUND",K99=""),"Missing cost; ","")&amp;IF(M99="UNKNOWN","Missing origin; ","")</f>
        <v/>
      </c>
      <c r="S99" s="15" t="str">
        <f aca="false">IF(R99="","OK","CHECK")</f>
        <v>OK</v>
      </c>
    </row>
    <row r="100" customFormat="false" ht="15" hidden="false" customHeight="false" outlineLevel="0" collapsed="false">
      <c r="A100" s="12" t="s">
        <v>131</v>
      </c>
      <c r="B100" s="12" t="n">
        <v>40</v>
      </c>
      <c r="C100" s="12" t="s">
        <v>185</v>
      </c>
      <c r="D100" s="25" t="n">
        <v>0.0975</v>
      </c>
      <c r="E100" s="12" t="s">
        <v>66</v>
      </c>
      <c r="F100" s="15" t="str">
        <f aca="false">UPPER(TRIM(C100))</f>
        <v>AGG-SND</v>
      </c>
      <c r="G100" s="15" t="str">
        <f aca="false">IFERROR(INDEX(Components!$B$2:$B$500,MATCH(F100,Components!$I$2:$I$500,0)),"NOT FOUND")</f>
        <v>Concrete sand</v>
      </c>
      <c r="H100" s="15" t="str">
        <f aca="false">IF(G100="NOT FOUND","",INDEX(Components!$C$2:$C$500,MATCH(F100,Components!$I$2:$I$500,0)))</f>
        <v>T</v>
      </c>
      <c r="I100" s="26" t="n">
        <f aca="false">IF(G100="NOT FOUND","",IF(E100=H100,1,IFERROR(INDEX(Unit_Factor,MATCH(E100&amp;"&gt;"&amp;H100,Unit_Key,0)),"NO FACTOR")))</f>
        <v>1</v>
      </c>
      <c r="J100" s="27" t="n">
        <f aca="false">IF(ISNUMBER(I100),D100*I100,"")</f>
        <v>0.0975</v>
      </c>
      <c r="K100" s="24" t="n">
        <f aca="false">IF(G100="NOT FOUND","",INDEX(Components!$J$2:$J$500,MATCH(F100,Components!$I$2:$I$500,0)))</f>
        <v>24</v>
      </c>
      <c r="L100" s="24" t="n">
        <f aca="false">IF(AND(ISNUMBER(J100),ISNUMBER(K100)),J100*K100,"")</f>
        <v>2.34</v>
      </c>
      <c r="M100" s="15" t="str">
        <f aca="false">IF(G100="NOT FOUND","",IF(INDEX(Components!$G$2:$G$500,MATCH(F100,Components!$I$2:$I$500,0))="","UNKNOWN",INDEX(Components!$G$2:$G$500,MATCH(F100,Components!$I$2:$I$500,0))))</f>
        <v>CA</v>
      </c>
      <c r="N100" s="15" t="str">
        <f aca="false">IF(M100="","",IF(M100="UNKNOWN","Unknown",IF(M100=Home_Country,"Domestic","Imported")))</f>
        <v>Domestic</v>
      </c>
      <c r="O100" s="15" t="str">
        <f aca="false">IF(G100="NOT FOUND","",INDEX(Components!$F$2:$F$500,MATCH(F100,Components!$I$2:$I$500,0)))</f>
        <v>SUP-03</v>
      </c>
      <c r="P100" s="28" t="n">
        <f aca="false">SUMIFS(Sales!$G$2:$G$500,Sales!$I$2:$I$500,A100)</f>
        <v>5458</v>
      </c>
      <c r="Q100" s="29" t="n">
        <f aca="false">IF(ISNUMBER(L100),L100*P100,"")</f>
        <v>12771.72</v>
      </c>
      <c r="R100" s="15" t="str">
        <f aca="false">IF(G100="NOT FOUND","Unknown component; ","")&amp;IF(I100="NO FACTOR","No unit conversion; ","")&amp;IF(AND(G100&lt;&gt;"NOT FOUND",K100=""),"Missing cost; ","")&amp;IF(M100="UNKNOWN","Missing origin; ","")</f>
        <v/>
      </c>
      <c r="S100" s="15" t="str">
        <f aca="false">IF(R100="","OK","CHECK")</f>
        <v>OK</v>
      </c>
    </row>
    <row r="101" customFormat="false" ht="15" hidden="false" customHeight="false" outlineLevel="0" collapsed="false">
      <c r="A101" s="12" t="s">
        <v>131</v>
      </c>
      <c r="B101" s="12" t="n">
        <v>50</v>
      </c>
      <c r="C101" s="12" t="s">
        <v>188</v>
      </c>
      <c r="D101" s="25" t="n">
        <v>0.26</v>
      </c>
      <c r="E101" s="12" t="s">
        <v>190</v>
      </c>
      <c r="F101" s="15" t="str">
        <f aca="false">UPPER(TRIM(C101))</f>
        <v>ADM-SP</v>
      </c>
      <c r="G101" s="15" t="str">
        <f aca="false">IFERROR(INDEX(Components!$B$2:$B$500,MATCH(F101,Components!$I$2:$I$500,0)),"NOT FOUND")</f>
        <v>Superplasticizer admixture</v>
      </c>
      <c r="H101" s="15" t="str">
        <f aca="false">IF(G101="NOT FOUND","",INDEX(Components!$C$2:$C$500,MATCH(F101,Components!$I$2:$I$500,0)))</f>
        <v>L</v>
      </c>
      <c r="I101" s="26" t="n">
        <f aca="false">IF(G101="NOT FOUND","",IF(E101=H101,1,IFERROR(INDEX(Unit_Factor,MATCH(E101&amp;"&gt;"&amp;H101,Unit_Key,0)),"NO FACTOR")))</f>
        <v>1</v>
      </c>
      <c r="J101" s="27" t="n">
        <f aca="false">IF(ISNUMBER(I101),D101*I101,"")</f>
        <v>0.26</v>
      </c>
      <c r="K101" s="24" t="n">
        <f aca="false">IF(G101="NOT FOUND","",INDEX(Components!$J$2:$J$500,MATCH(F101,Components!$I$2:$I$500,0)))</f>
        <v>4.247</v>
      </c>
      <c r="L101" s="24" t="n">
        <f aca="false">IF(AND(ISNUMBER(J101),ISNUMBER(K101)),J101*K101,"")</f>
        <v>1.10422</v>
      </c>
      <c r="M101" s="15" t="str">
        <f aca="false">IF(G101="NOT FOUND","",IF(INDEX(Components!$G$2:$G$500,MATCH(F101,Components!$I$2:$I$500,0))="","UNKNOWN",INDEX(Components!$G$2:$G$500,MATCH(F101,Components!$I$2:$I$500,0))))</f>
        <v>US</v>
      </c>
      <c r="N101" s="15" t="str">
        <f aca="false">IF(M101="","",IF(M101="UNKNOWN","Unknown",IF(M101=Home_Country,"Domestic","Imported")))</f>
        <v>Imported</v>
      </c>
      <c r="O101" s="15" t="str">
        <f aca="false">IF(G101="NOT FOUND","",INDEX(Components!$F$2:$F$500,MATCH(F101,Components!$I$2:$I$500,0)))</f>
        <v>SUP-04</v>
      </c>
      <c r="P101" s="28" t="n">
        <f aca="false">SUMIFS(Sales!$G$2:$G$500,Sales!$I$2:$I$500,A101)</f>
        <v>5458</v>
      </c>
      <c r="Q101" s="29" t="n">
        <f aca="false">IF(ISNUMBER(L101),L101*P101,"")</f>
        <v>6026.83276</v>
      </c>
      <c r="R101" s="15" t="str">
        <f aca="false">IF(G101="NOT FOUND","Unknown component; ","")&amp;IF(I101="NO FACTOR","No unit conversion; ","")&amp;IF(AND(G101&lt;&gt;"NOT FOUND",K101=""),"Missing cost; ","")&amp;IF(M101="UNKNOWN","Missing origin; ","")</f>
        <v/>
      </c>
      <c r="S101" s="15" t="str">
        <f aca="false">IF(R101="","OK","CHECK")</f>
        <v>OK</v>
      </c>
    </row>
    <row r="102" customFormat="false" ht="15" hidden="false" customHeight="false" outlineLevel="0" collapsed="false">
      <c r="A102" s="12" t="s">
        <v>131</v>
      </c>
      <c r="B102" s="12" t="n">
        <v>60</v>
      </c>
      <c r="C102" s="12" t="s">
        <v>192</v>
      </c>
      <c r="D102" s="25" t="n">
        <v>0.052</v>
      </c>
      <c r="E102" s="12" t="s">
        <v>190</v>
      </c>
      <c r="F102" s="15" t="str">
        <f aca="false">UPPER(TRIM(C102))</f>
        <v>ADM-AE</v>
      </c>
      <c r="G102" s="15" t="str">
        <f aca="false">IFERROR(INDEX(Components!$B$2:$B$500,MATCH(F102,Components!$I$2:$I$500,0)),"NOT FOUND")</f>
        <v>Air-entraining admixture</v>
      </c>
      <c r="H102" s="15" t="str">
        <f aca="false">IF(G102="NOT FOUND","",INDEX(Components!$C$2:$C$500,MATCH(F102,Components!$I$2:$I$500,0)))</f>
        <v>L</v>
      </c>
      <c r="I102" s="26" t="n">
        <f aca="false">IF(G102="NOT FOUND","",IF(E102=H102,1,IFERROR(INDEX(Unit_Factor,MATCH(E102&amp;"&gt;"&amp;H102,Unit_Key,0)),"NO FACTOR")))</f>
        <v>1</v>
      </c>
      <c r="J102" s="27" t="n">
        <f aca="false">IF(ISNUMBER(I102),D102*I102,"")</f>
        <v>0.052</v>
      </c>
      <c r="K102" s="24" t="n">
        <f aca="false">IF(G102="NOT FOUND","",INDEX(Components!$J$2:$J$500,MATCH(F102,Components!$I$2:$I$500,0)))</f>
        <v>3.288</v>
      </c>
      <c r="L102" s="24" t="n">
        <f aca="false">IF(AND(ISNUMBER(J102),ISNUMBER(K102)),J102*K102,"")</f>
        <v>0.170976</v>
      </c>
      <c r="M102" s="15" t="str">
        <f aca="false">IF(G102="NOT FOUND","",IF(INDEX(Components!$G$2:$G$500,MATCH(F102,Components!$I$2:$I$500,0))="","UNKNOWN",INDEX(Components!$G$2:$G$500,MATCH(F102,Components!$I$2:$I$500,0))))</f>
        <v>US</v>
      </c>
      <c r="N102" s="15" t="str">
        <f aca="false">IF(M102="","",IF(M102="UNKNOWN","Unknown",IF(M102=Home_Country,"Domestic","Imported")))</f>
        <v>Imported</v>
      </c>
      <c r="O102" s="15" t="str">
        <f aca="false">IF(G102="NOT FOUND","",INDEX(Components!$F$2:$F$500,MATCH(F102,Components!$I$2:$I$500,0)))</f>
        <v>SUP-04</v>
      </c>
      <c r="P102" s="28" t="n">
        <f aca="false">SUMIFS(Sales!$G$2:$G$500,Sales!$I$2:$I$500,A102)</f>
        <v>5458</v>
      </c>
      <c r="Q102" s="29" t="n">
        <f aca="false">IF(ISNUMBER(L102),L102*P102,"")</f>
        <v>933.187008</v>
      </c>
      <c r="R102" s="15" t="str">
        <f aca="false">IF(G102="NOT FOUND","Unknown component; ","")&amp;IF(I102="NO FACTOR","No unit conversion; ","")&amp;IF(AND(G102&lt;&gt;"NOT FOUND",K102=""),"Missing cost; ","")&amp;IF(M102="UNKNOWN","Missing origin; ","")</f>
        <v/>
      </c>
      <c r="S102" s="15" t="str">
        <f aca="false">IF(R102="","OK","CHECK")</f>
        <v>OK</v>
      </c>
    </row>
    <row r="103" customFormat="false" ht="15" hidden="false" customHeight="false" outlineLevel="0" collapsed="false">
      <c r="A103" s="12" t="s">
        <v>131</v>
      </c>
      <c r="B103" s="12" t="n">
        <v>70</v>
      </c>
      <c r="C103" s="12" t="s">
        <v>205</v>
      </c>
      <c r="D103" s="25" t="n">
        <v>3.8</v>
      </c>
      <c r="E103" s="12" t="s">
        <v>62</v>
      </c>
      <c r="F103" s="15" t="str">
        <f aca="false">UPPER(TRIM(C103))</f>
        <v>STR-127</v>
      </c>
      <c r="G103" s="15" t="str">
        <f aca="false">IFERROR(INDEX(Components!$B$2:$B$500,MATCH(F103,Components!$I$2:$I$500,0)),"NOT FOUND")</f>
        <v>Prestressing strand 12.7 mm</v>
      </c>
      <c r="H103" s="15" t="str">
        <f aca="false">IF(G103="NOT FOUND","",INDEX(Components!$C$2:$C$500,MATCH(F103,Components!$I$2:$I$500,0)))</f>
        <v>KG</v>
      </c>
      <c r="I103" s="26" t="n">
        <f aca="false">IF(G103="NOT FOUND","",IF(E103=H103,1,IFERROR(INDEX(Unit_Factor,MATCH(E103&amp;"&gt;"&amp;H103,Unit_Key,0)),"NO FACTOR")))</f>
        <v>1</v>
      </c>
      <c r="J103" s="27" t="n">
        <f aca="false">IF(ISNUMBER(I103),D103*I103,"")</f>
        <v>3.8</v>
      </c>
      <c r="K103" s="24" t="n">
        <f aca="false">IF(G103="NOT FOUND","",INDEX(Components!$J$2:$J$500,MATCH(F103,Components!$I$2:$I$500,0)))</f>
        <v>2.055</v>
      </c>
      <c r="L103" s="24" t="n">
        <f aca="false">IF(AND(ISNUMBER(J103),ISNUMBER(K103)),J103*K103,"")</f>
        <v>7.809</v>
      </c>
      <c r="M103" s="15" t="str">
        <f aca="false">IF(G103="NOT FOUND","",IF(INDEX(Components!$G$2:$G$500,MATCH(F103,Components!$I$2:$I$500,0))="","UNKNOWN",INDEX(Components!$G$2:$G$500,MATCH(F103,Components!$I$2:$I$500,0))))</f>
        <v>KR</v>
      </c>
      <c r="N103" s="15" t="str">
        <f aca="false">IF(M103="","",IF(M103="UNKNOWN","Unknown",IF(M103=Home_Country,"Domestic","Imported")))</f>
        <v>Imported</v>
      </c>
      <c r="O103" s="15" t="str">
        <f aca="false">IF(G103="NOT FOUND","",INDEX(Components!$F$2:$F$500,MATCH(F103,Components!$I$2:$I$500,0)))</f>
        <v>SUP-08</v>
      </c>
      <c r="P103" s="28" t="n">
        <f aca="false">SUMIFS(Sales!$G$2:$G$500,Sales!$I$2:$I$500,A103)</f>
        <v>5458</v>
      </c>
      <c r="Q103" s="29" t="n">
        <f aca="false">IF(ISNUMBER(L103),L103*P103,"")</f>
        <v>42621.522</v>
      </c>
      <c r="R103" s="15" t="str">
        <f aca="false">IF(G103="NOT FOUND","Unknown component; ","")&amp;IF(I103="NO FACTOR","No unit conversion; ","")&amp;IF(AND(G103&lt;&gt;"NOT FOUND",K103=""),"Missing cost; ","")&amp;IF(M103="UNKNOWN","Missing origin; ","")</f>
        <v/>
      </c>
      <c r="S103" s="15" t="str">
        <f aca="false">IF(R103="","OK","CHECK")</f>
        <v>OK</v>
      </c>
    </row>
    <row r="104" customFormat="false" ht="15" hidden="false" customHeight="false" outlineLevel="0" collapsed="false">
      <c r="A104" s="12" t="s">
        <v>131</v>
      </c>
      <c r="B104" s="12" t="n">
        <v>80</v>
      </c>
      <c r="C104" s="12" t="s">
        <v>227</v>
      </c>
      <c r="D104" s="25" t="n">
        <v>0.05</v>
      </c>
      <c r="E104" s="12" t="s">
        <v>190</v>
      </c>
      <c r="F104" s="15" t="str">
        <f aca="false">UPPER(TRIM(C104))</f>
        <v>FRM-OIL</v>
      </c>
      <c r="G104" s="15" t="str">
        <f aca="false">IFERROR(INDEX(Components!$B$2:$B$500,MATCH(F104,Components!$I$2:$I$500,0)),"NOT FOUND")</f>
        <v>Form release agent</v>
      </c>
      <c r="H104" s="15" t="str">
        <f aca="false">IF(G104="NOT FOUND","",INDEX(Components!$C$2:$C$500,MATCH(F104,Components!$I$2:$I$500,0)))</f>
        <v>L</v>
      </c>
      <c r="I104" s="26" t="n">
        <f aca="false">IF(G104="NOT FOUND","",IF(E104=H104,1,IFERROR(INDEX(Unit_Factor,MATCH(E104&amp;"&gt;"&amp;H104,Unit_Key,0)),"NO FACTOR")))</f>
        <v>1</v>
      </c>
      <c r="J104" s="27" t="n">
        <f aca="false">IF(ISNUMBER(I104),D104*I104,"")</f>
        <v>0.05</v>
      </c>
      <c r="K104" s="24" t="n">
        <f aca="false">IF(G104="NOT FOUND","",INDEX(Components!$J$2:$J$500,MATCH(F104,Components!$I$2:$I$500,0)))</f>
        <v>1.15</v>
      </c>
      <c r="L104" s="24" t="n">
        <f aca="false">IF(AND(ISNUMBER(J104),ISNUMBER(K104)),J104*K104,"")</f>
        <v>0.0575</v>
      </c>
      <c r="M104" s="15" t="str">
        <f aca="false">IF(G104="NOT FOUND","",IF(INDEX(Components!$G$2:$G$500,MATCH(F104,Components!$I$2:$I$500,0))="","UNKNOWN",INDEX(Components!$G$2:$G$500,MATCH(F104,Components!$I$2:$I$500,0))))</f>
        <v>CA</v>
      </c>
      <c r="N104" s="15" t="str">
        <f aca="false">IF(M104="","",IF(M104="UNKNOWN","Unknown",IF(M104=Home_Country,"Domestic","Imported")))</f>
        <v>Domestic</v>
      </c>
      <c r="O104" s="15" t="str">
        <f aca="false">IF(G104="NOT FOUND","",INDEX(Components!$F$2:$F$500,MATCH(F104,Components!$I$2:$I$500,0)))</f>
        <v>SUP-12</v>
      </c>
      <c r="P104" s="28" t="n">
        <f aca="false">SUMIFS(Sales!$G$2:$G$500,Sales!$I$2:$I$500,A104)</f>
        <v>5458</v>
      </c>
      <c r="Q104" s="29" t="n">
        <f aca="false">IF(ISNUMBER(L104),L104*P104,"")</f>
        <v>313.835</v>
      </c>
      <c r="R104" s="15" t="str">
        <f aca="false">IF(G104="NOT FOUND","Unknown component; ","")&amp;IF(I104="NO FACTOR","No unit conversion; ","")&amp;IF(AND(G104&lt;&gt;"NOT FOUND",K104=""),"Missing cost; ","")&amp;IF(M104="UNKNOWN","Missing origin; ","")</f>
        <v/>
      </c>
      <c r="S104" s="15" t="str">
        <f aca="false">IF(R104="","OK","CHECK")</f>
        <v>OK</v>
      </c>
    </row>
    <row r="105" customFormat="false" ht="15" hidden="false" customHeight="false" outlineLevel="0" collapsed="false">
      <c r="A105" s="12" t="s">
        <v>135</v>
      </c>
      <c r="B105" s="12" t="n">
        <v>10</v>
      </c>
      <c r="C105" s="12" t="s">
        <v>176</v>
      </c>
      <c r="D105" s="25" t="n">
        <v>0.056</v>
      </c>
      <c r="E105" s="12" t="s">
        <v>66</v>
      </c>
      <c r="F105" s="15" t="str">
        <f aca="false">UPPER(TRIM(C105))</f>
        <v>CMT-GU</v>
      </c>
      <c r="G105" s="15" t="str">
        <f aca="false">IFERROR(INDEX(Components!$B$2:$B$500,MATCH(F105,Components!$I$2:$I$500,0)),"NOT FOUND")</f>
        <v>Portland cement Type GU</v>
      </c>
      <c r="H105" s="15" t="str">
        <f aca="false">IF(G105="NOT FOUND","",INDEX(Components!$C$2:$C$500,MATCH(F105,Components!$I$2:$I$500,0)))</f>
        <v>T</v>
      </c>
      <c r="I105" s="26" t="n">
        <f aca="false">IF(G105="NOT FOUND","",IF(E105=H105,1,IFERROR(INDEX(Unit_Factor,MATCH(E105&amp;"&gt;"&amp;H105,Unit_Key,0)),"NO FACTOR")))</f>
        <v>1</v>
      </c>
      <c r="J105" s="27" t="n">
        <f aca="false">IF(ISNUMBER(I105),D105*I105,"")</f>
        <v>0.056</v>
      </c>
      <c r="K105" s="24" t="n">
        <f aca="false">IF(G105="NOT FOUND","",INDEX(Components!$J$2:$J$500,MATCH(F105,Components!$I$2:$I$500,0)))</f>
        <v>235</v>
      </c>
      <c r="L105" s="24" t="n">
        <f aca="false">IF(AND(ISNUMBER(J105),ISNUMBER(K105)),J105*K105,"")</f>
        <v>13.16</v>
      </c>
      <c r="M105" s="15" t="str">
        <f aca="false">IF(G105="NOT FOUND","",IF(INDEX(Components!$G$2:$G$500,MATCH(F105,Components!$I$2:$I$500,0))="","UNKNOWN",INDEX(Components!$G$2:$G$500,MATCH(F105,Components!$I$2:$I$500,0))))</f>
        <v>CA</v>
      </c>
      <c r="N105" s="15" t="str">
        <f aca="false">IF(M105="","",IF(M105="UNKNOWN","Unknown",IF(M105=Home_Country,"Domestic","Imported")))</f>
        <v>Domestic</v>
      </c>
      <c r="O105" s="15" t="str">
        <f aca="false">IF(G105="NOT FOUND","",INDEX(Components!$F$2:$F$500,MATCH(F105,Components!$I$2:$I$500,0)))</f>
        <v>SUP-01</v>
      </c>
      <c r="P105" s="28" t="n">
        <f aca="false">SUMIFS(Sales!$G$2:$G$500,Sales!$I$2:$I$500,A105)</f>
        <v>3012</v>
      </c>
      <c r="Q105" s="29" t="n">
        <f aca="false">IF(ISNUMBER(L105),L105*P105,"")</f>
        <v>39637.92</v>
      </c>
      <c r="R105" s="15" t="str">
        <f aca="false">IF(G105="NOT FOUND","Unknown component; ","")&amp;IF(I105="NO FACTOR","No unit conversion; ","")&amp;IF(AND(G105&lt;&gt;"NOT FOUND",K105=""),"Missing cost; ","")&amp;IF(M105="UNKNOWN","Missing origin; ","")</f>
        <v/>
      </c>
      <c r="S105" s="15" t="str">
        <f aca="false">IF(R105="","OK","CHECK")</f>
        <v>OK</v>
      </c>
    </row>
    <row r="106" customFormat="false" ht="15" hidden="false" customHeight="false" outlineLevel="0" collapsed="false">
      <c r="A106" s="12" t="s">
        <v>135</v>
      </c>
      <c r="B106" s="12" t="n">
        <v>20</v>
      </c>
      <c r="C106" s="12" t="s">
        <v>179</v>
      </c>
      <c r="D106" s="25" t="n">
        <v>0.0112</v>
      </c>
      <c r="E106" s="12" t="s">
        <v>66</v>
      </c>
      <c r="F106" s="15" t="str">
        <f aca="false">UPPER(TRIM(C106))</f>
        <v>SCM-FA</v>
      </c>
      <c r="G106" s="15" t="str">
        <f aca="false">IFERROR(INDEX(Components!$B$2:$B$500,MATCH(F106,Components!$I$2:$I$500,0)),"NOT FOUND")</f>
        <v>Fly ash Class F</v>
      </c>
      <c r="H106" s="15" t="str">
        <f aca="false">IF(G106="NOT FOUND","",INDEX(Components!$C$2:$C$500,MATCH(F106,Components!$I$2:$I$500,0)))</f>
        <v>T</v>
      </c>
      <c r="I106" s="26" t="n">
        <f aca="false">IF(G106="NOT FOUND","",IF(E106=H106,1,IFERROR(INDEX(Unit_Factor,MATCH(E106&amp;"&gt;"&amp;H106,Unit_Key,0)),"NO FACTOR")))</f>
        <v>1</v>
      </c>
      <c r="J106" s="27" t="n">
        <f aca="false">IF(ISNUMBER(I106),D106*I106,"")</f>
        <v>0.0112</v>
      </c>
      <c r="K106" s="24" t="n">
        <f aca="false">IF(G106="NOT FOUND","",INDEX(Components!$J$2:$J$500,MATCH(F106,Components!$I$2:$I$500,0)))</f>
        <v>98.64</v>
      </c>
      <c r="L106" s="24" t="n">
        <f aca="false">IF(AND(ISNUMBER(J106),ISNUMBER(K106)),J106*K106,"")</f>
        <v>1.104768</v>
      </c>
      <c r="M106" s="15" t="str">
        <f aca="false">IF(G106="NOT FOUND","",IF(INDEX(Components!$G$2:$G$500,MATCH(F106,Components!$I$2:$I$500,0))="","UNKNOWN",INDEX(Components!$G$2:$G$500,MATCH(F106,Components!$I$2:$I$500,0))))</f>
        <v>US</v>
      </c>
      <c r="N106" s="15" t="str">
        <f aca="false">IF(M106="","",IF(M106="UNKNOWN","Unknown",IF(M106=Home_Country,"Domestic","Imported")))</f>
        <v>Imported</v>
      </c>
      <c r="O106" s="15" t="str">
        <f aca="false">IF(G106="NOT FOUND","",INDEX(Components!$F$2:$F$500,MATCH(F106,Components!$I$2:$I$500,0)))</f>
        <v>SUP-02</v>
      </c>
      <c r="P106" s="28" t="n">
        <f aca="false">SUMIFS(Sales!$G$2:$G$500,Sales!$I$2:$I$500,A106)</f>
        <v>3012</v>
      </c>
      <c r="Q106" s="29" t="n">
        <f aca="false">IF(ISNUMBER(L106),L106*P106,"")</f>
        <v>3327.561216</v>
      </c>
      <c r="R106" s="15" t="str">
        <f aca="false">IF(G106="NOT FOUND","Unknown component; ","")&amp;IF(I106="NO FACTOR","No unit conversion; ","")&amp;IF(AND(G106&lt;&gt;"NOT FOUND",K106=""),"Missing cost; ","")&amp;IF(M106="UNKNOWN","Missing origin; ","")</f>
        <v/>
      </c>
      <c r="S106" s="15" t="str">
        <f aca="false">IF(R106="","OK","CHECK")</f>
        <v>OK</v>
      </c>
    </row>
    <row r="107" customFormat="false" ht="15" hidden="false" customHeight="false" outlineLevel="0" collapsed="false">
      <c r="A107" s="12" t="s">
        <v>135</v>
      </c>
      <c r="B107" s="12" t="n">
        <v>30</v>
      </c>
      <c r="C107" s="12" t="s">
        <v>182</v>
      </c>
      <c r="D107" s="25" t="n">
        <v>0.168</v>
      </c>
      <c r="E107" s="12" t="s">
        <v>66</v>
      </c>
      <c r="F107" s="15" t="str">
        <f aca="false">UPPER(TRIM(C107))</f>
        <v>AGG-20</v>
      </c>
      <c r="G107" s="15" t="str">
        <f aca="false">IFERROR(INDEX(Components!$B$2:$B$500,MATCH(F107,Components!$I$2:$I$500,0)),"NOT FOUND")</f>
        <v>Coarse aggregate 20 mm</v>
      </c>
      <c r="H107" s="15" t="str">
        <f aca="false">IF(G107="NOT FOUND","",INDEX(Components!$C$2:$C$500,MATCH(F107,Components!$I$2:$I$500,0)))</f>
        <v>T</v>
      </c>
      <c r="I107" s="26" t="n">
        <f aca="false">IF(G107="NOT FOUND","",IF(E107=H107,1,IFERROR(INDEX(Unit_Factor,MATCH(E107&amp;"&gt;"&amp;H107,Unit_Key,0)),"NO FACTOR")))</f>
        <v>1</v>
      </c>
      <c r="J107" s="27" t="n">
        <f aca="false">IF(ISNUMBER(I107),D107*I107,"")</f>
        <v>0.168</v>
      </c>
      <c r="K107" s="24" t="n">
        <f aca="false">IF(G107="NOT FOUND","",INDEX(Components!$J$2:$J$500,MATCH(F107,Components!$I$2:$I$500,0)))</f>
        <v>28</v>
      </c>
      <c r="L107" s="24" t="n">
        <f aca="false">IF(AND(ISNUMBER(J107),ISNUMBER(K107)),J107*K107,"")</f>
        <v>4.704</v>
      </c>
      <c r="M107" s="15" t="str">
        <f aca="false">IF(G107="NOT FOUND","",IF(INDEX(Components!$G$2:$G$500,MATCH(F107,Components!$I$2:$I$500,0))="","UNKNOWN",INDEX(Components!$G$2:$G$500,MATCH(F107,Components!$I$2:$I$500,0))))</f>
        <v>CA</v>
      </c>
      <c r="N107" s="15" t="str">
        <f aca="false">IF(M107="","",IF(M107="UNKNOWN","Unknown",IF(M107=Home_Country,"Domestic","Imported")))</f>
        <v>Domestic</v>
      </c>
      <c r="O107" s="15" t="str">
        <f aca="false">IF(G107="NOT FOUND","",INDEX(Components!$F$2:$F$500,MATCH(F107,Components!$I$2:$I$500,0)))</f>
        <v>SUP-03</v>
      </c>
      <c r="P107" s="28" t="n">
        <f aca="false">SUMIFS(Sales!$G$2:$G$500,Sales!$I$2:$I$500,A107)</f>
        <v>3012</v>
      </c>
      <c r="Q107" s="29" t="n">
        <f aca="false">IF(ISNUMBER(L107),L107*P107,"")</f>
        <v>14168.448</v>
      </c>
      <c r="R107" s="15" t="str">
        <f aca="false">IF(G107="NOT FOUND","Unknown component; ","")&amp;IF(I107="NO FACTOR","No unit conversion; ","")&amp;IF(AND(G107&lt;&gt;"NOT FOUND",K107=""),"Missing cost; ","")&amp;IF(M107="UNKNOWN","Missing origin; ","")</f>
        <v/>
      </c>
      <c r="S107" s="15" t="str">
        <f aca="false">IF(R107="","OK","CHECK")</f>
        <v>OK</v>
      </c>
    </row>
    <row r="108" customFormat="false" ht="15" hidden="false" customHeight="false" outlineLevel="0" collapsed="false">
      <c r="A108" s="12" t="s">
        <v>135</v>
      </c>
      <c r="B108" s="12" t="n">
        <v>40</v>
      </c>
      <c r="C108" s="12" t="s">
        <v>185</v>
      </c>
      <c r="D108" s="25" t="n">
        <v>0.12</v>
      </c>
      <c r="E108" s="12" t="s">
        <v>66</v>
      </c>
      <c r="F108" s="15" t="str">
        <f aca="false">UPPER(TRIM(C108))</f>
        <v>AGG-SND</v>
      </c>
      <c r="G108" s="15" t="str">
        <f aca="false">IFERROR(INDEX(Components!$B$2:$B$500,MATCH(F108,Components!$I$2:$I$500,0)),"NOT FOUND")</f>
        <v>Concrete sand</v>
      </c>
      <c r="H108" s="15" t="str">
        <f aca="false">IF(G108="NOT FOUND","",INDEX(Components!$C$2:$C$500,MATCH(F108,Components!$I$2:$I$500,0)))</f>
        <v>T</v>
      </c>
      <c r="I108" s="26" t="n">
        <f aca="false">IF(G108="NOT FOUND","",IF(E108=H108,1,IFERROR(INDEX(Unit_Factor,MATCH(E108&amp;"&gt;"&amp;H108,Unit_Key,0)),"NO FACTOR")))</f>
        <v>1</v>
      </c>
      <c r="J108" s="27" t="n">
        <f aca="false">IF(ISNUMBER(I108),D108*I108,"")</f>
        <v>0.12</v>
      </c>
      <c r="K108" s="24" t="n">
        <f aca="false">IF(G108="NOT FOUND","",INDEX(Components!$J$2:$J$500,MATCH(F108,Components!$I$2:$I$500,0)))</f>
        <v>24</v>
      </c>
      <c r="L108" s="24" t="n">
        <f aca="false">IF(AND(ISNUMBER(J108),ISNUMBER(K108)),J108*K108,"")</f>
        <v>2.88</v>
      </c>
      <c r="M108" s="15" t="str">
        <f aca="false">IF(G108="NOT FOUND","",IF(INDEX(Components!$G$2:$G$500,MATCH(F108,Components!$I$2:$I$500,0))="","UNKNOWN",INDEX(Components!$G$2:$G$500,MATCH(F108,Components!$I$2:$I$500,0))))</f>
        <v>CA</v>
      </c>
      <c r="N108" s="15" t="str">
        <f aca="false">IF(M108="","",IF(M108="UNKNOWN","Unknown",IF(M108=Home_Country,"Domestic","Imported")))</f>
        <v>Domestic</v>
      </c>
      <c r="O108" s="15" t="str">
        <f aca="false">IF(G108="NOT FOUND","",INDEX(Components!$F$2:$F$500,MATCH(F108,Components!$I$2:$I$500,0)))</f>
        <v>SUP-03</v>
      </c>
      <c r="P108" s="28" t="n">
        <f aca="false">SUMIFS(Sales!$G$2:$G$500,Sales!$I$2:$I$500,A108)</f>
        <v>3012</v>
      </c>
      <c r="Q108" s="29" t="n">
        <f aca="false">IF(ISNUMBER(L108),L108*P108,"")</f>
        <v>8674.56</v>
      </c>
      <c r="R108" s="15" t="str">
        <f aca="false">IF(G108="NOT FOUND","Unknown component; ","")&amp;IF(I108="NO FACTOR","No unit conversion; ","")&amp;IF(AND(G108&lt;&gt;"NOT FOUND",K108=""),"Missing cost; ","")&amp;IF(M108="UNKNOWN","Missing origin; ","")</f>
        <v/>
      </c>
      <c r="S108" s="15" t="str">
        <f aca="false">IF(R108="","OK","CHECK")</f>
        <v>OK</v>
      </c>
    </row>
    <row r="109" customFormat="false" ht="15" hidden="false" customHeight="false" outlineLevel="0" collapsed="false">
      <c r="A109" s="12" t="s">
        <v>135</v>
      </c>
      <c r="B109" s="12" t="n">
        <v>50</v>
      </c>
      <c r="C109" s="12" t="s">
        <v>188</v>
      </c>
      <c r="D109" s="25" t="n">
        <v>0.32</v>
      </c>
      <c r="E109" s="12" t="s">
        <v>190</v>
      </c>
      <c r="F109" s="15" t="str">
        <f aca="false">UPPER(TRIM(C109))</f>
        <v>ADM-SP</v>
      </c>
      <c r="G109" s="15" t="str">
        <f aca="false">IFERROR(INDEX(Components!$B$2:$B$500,MATCH(F109,Components!$I$2:$I$500,0)),"NOT FOUND")</f>
        <v>Superplasticizer admixture</v>
      </c>
      <c r="H109" s="15" t="str">
        <f aca="false">IF(G109="NOT FOUND","",INDEX(Components!$C$2:$C$500,MATCH(F109,Components!$I$2:$I$500,0)))</f>
        <v>L</v>
      </c>
      <c r="I109" s="26" t="n">
        <f aca="false">IF(G109="NOT FOUND","",IF(E109=H109,1,IFERROR(INDEX(Unit_Factor,MATCH(E109&amp;"&gt;"&amp;H109,Unit_Key,0)),"NO FACTOR")))</f>
        <v>1</v>
      </c>
      <c r="J109" s="27" t="n">
        <f aca="false">IF(ISNUMBER(I109),D109*I109,"")</f>
        <v>0.32</v>
      </c>
      <c r="K109" s="24" t="n">
        <f aca="false">IF(G109="NOT FOUND","",INDEX(Components!$J$2:$J$500,MATCH(F109,Components!$I$2:$I$500,0)))</f>
        <v>4.247</v>
      </c>
      <c r="L109" s="24" t="n">
        <f aca="false">IF(AND(ISNUMBER(J109),ISNUMBER(K109)),J109*K109,"")</f>
        <v>1.35904</v>
      </c>
      <c r="M109" s="15" t="str">
        <f aca="false">IF(G109="NOT FOUND","",IF(INDEX(Components!$G$2:$G$500,MATCH(F109,Components!$I$2:$I$500,0))="","UNKNOWN",INDEX(Components!$G$2:$G$500,MATCH(F109,Components!$I$2:$I$500,0))))</f>
        <v>US</v>
      </c>
      <c r="N109" s="15" t="str">
        <f aca="false">IF(M109="","",IF(M109="UNKNOWN","Unknown",IF(M109=Home_Country,"Domestic","Imported")))</f>
        <v>Imported</v>
      </c>
      <c r="O109" s="15" t="str">
        <f aca="false">IF(G109="NOT FOUND","",INDEX(Components!$F$2:$F$500,MATCH(F109,Components!$I$2:$I$500,0)))</f>
        <v>SUP-04</v>
      </c>
      <c r="P109" s="28" t="n">
        <f aca="false">SUMIFS(Sales!$G$2:$G$500,Sales!$I$2:$I$500,A109)</f>
        <v>3012</v>
      </c>
      <c r="Q109" s="29" t="n">
        <f aca="false">IF(ISNUMBER(L109),L109*P109,"")</f>
        <v>4093.42848</v>
      </c>
      <c r="R109" s="15" t="str">
        <f aca="false">IF(G109="NOT FOUND","Unknown component; ","")&amp;IF(I109="NO FACTOR","No unit conversion; ","")&amp;IF(AND(G109&lt;&gt;"NOT FOUND",K109=""),"Missing cost; ","")&amp;IF(M109="UNKNOWN","Missing origin; ","")</f>
        <v/>
      </c>
      <c r="S109" s="15" t="str">
        <f aca="false">IF(R109="","OK","CHECK")</f>
        <v>OK</v>
      </c>
    </row>
    <row r="110" customFormat="false" ht="15" hidden="false" customHeight="false" outlineLevel="0" collapsed="false">
      <c r="A110" s="12" t="s">
        <v>135</v>
      </c>
      <c r="B110" s="12" t="n">
        <v>60</v>
      </c>
      <c r="C110" s="12" t="s">
        <v>192</v>
      </c>
      <c r="D110" s="25" t="n">
        <v>0.064</v>
      </c>
      <c r="E110" s="12" t="s">
        <v>190</v>
      </c>
      <c r="F110" s="15" t="str">
        <f aca="false">UPPER(TRIM(C110))</f>
        <v>ADM-AE</v>
      </c>
      <c r="G110" s="15" t="str">
        <f aca="false">IFERROR(INDEX(Components!$B$2:$B$500,MATCH(F110,Components!$I$2:$I$500,0)),"NOT FOUND")</f>
        <v>Air-entraining admixture</v>
      </c>
      <c r="H110" s="15" t="str">
        <f aca="false">IF(G110="NOT FOUND","",INDEX(Components!$C$2:$C$500,MATCH(F110,Components!$I$2:$I$500,0)))</f>
        <v>L</v>
      </c>
      <c r="I110" s="26" t="n">
        <f aca="false">IF(G110="NOT FOUND","",IF(E110=H110,1,IFERROR(INDEX(Unit_Factor,MATCH(E110&amp;"&gt;"&amp;H110,Unit_Key,0)),"NO FACTOR")))</f>
        <v>1</v>
      </c>
      <c r="J110" s="27" t="n">
        <f aca="false">IF(ISNUMBER(I110),D110*I110,"")</f>
        <v>0.064</v>
      </c>
      <c r="K110" s="24" t="n">
        <f aca="false">IF(G110="NOT FOUND","",INDEX(Components!$J$2:$J$500,MATCH(F110,Components!$I$2:$I$500,0)))</f>
        <v>3.288</v>
      </c>
      <c r="L110" s="24" t="n">
        <f aca="false">IF(AND(ISNUMBER(J110),ISNUMBER(K110)),J110*K110,"")</f>
        <v>0.210432</v>
      </c>
      <c r="M110" s="15" t="str">
        <f aca="false">IF(G110="NOT FOUND","",IF(INDEX(Components!$G$2:$G$500,MATCH(F110,Components!$I$2:$I$500,0))="","UNKNOWN",INDEX(Components!$G$2:$G$500,MATCH(F110,Components!$I$2:$I$500,0))))</f>
        <v>US</v>
      </c>
      <c r="N110" s="15" t="str">
        <f aca="false">IF(M110="","",IF(M110="UNKNOWN","Unknown",IF(M110=Home_Country,"Domestic","Imported")))</f>
        <v>Imported</v>
      </c>
      <c r="O110" s="15" t="str">
        <f aca="false">IF(G110="NOT FOUND","",INDEX(Components!$F$2:$F$500,MATCH(F110,Components!$I$2:$I$500,0)))</f>
        <v>SUP-04</v>
      </c>
      <c r="P110" s="28" t="n">
        <f aca="false">SUMIFS(Sales!$G$2:$G$500,Sales!$I$2:$I$500,A110)</f>
        <v>3012</v>
      </c>
      <c r="Q110" s="29" t="n">
        <f aca="false">IF(ISNUMBER(L110),L110*P110,"")</f>
        <v>633.821184</v>
      </c>
      <c r="R110" s="15" t="str">
        <f aca="false">IF(G110="NOT FOUND","Unknown component; ","")&amp;IF(I110="NO FACTOR","No unit conversion; ","")&amp;IF(AND(G110&lt;&gt;"NOT FOUND",K110=""),"Missing cost; ","")&amp;IF(M110="UNKNOWN","Missing origin; ","")</f>
        <v/>
      </c>
      <c r="S110" s="15" t="str">
        <f aca="false">IF(R110="","OK","CHECK")</f>
        <v>OK</v>
      </c>
    </row>
    <row r="111" customFormat="false" ht="15" hidden="false" customHeight="false" outlineLevel="0" collapsed="false">
      <c r="A111" s="12" t="s">
        <v>135</v>
      </c>
      <c r="B111" s="12" t="n">
        <v>70</v>
      </c>
      <c r="C111" s="12" t="s">
        <v>205</v>
      </c>
      <c r="D111" s="25" t="n">
        <v>4.6</v>
      </c>
      <c r="E111" s="12" t="s">
        <v>62</v>
      </c>
      <c r="F111" s="15" t="str">
        <f aca="false">UPPER(TRIM(C111))</f>
        <v>STR-127</v>
      </c>
      <c r="G111" s="15" t="str">
        <f aca="false">IFERROR(INDEX(Components!$B$2:$B$500,MATCH(F111,Components!$I$2:$I$500,0)),"NOT FOUND")</f>
        <v>Prestressing strand 12.7 mm</v>
      </c>
      <c r="H111" s="15" t="str">
        <f aca="false">IF(G111="NOT FOUND","",INDEX(Components!$C$2:$C$500,MATCH(F111,Components!$I$2:$I$500,0)))</f>
        <v>KG</v>
      </c>
      <c r="I111" s="26" t="n">
        <f aca="false">IF(G111="NOT FOUND","",IF(E111=H111,1,IFERROR(INDEX(Unit_Factor,MATCH(E111&amp;"&gt;"&amp;H111,Unit_Key,0)),"NO FACTOR")))</f>
        <v>1</v>
      </c>
      <c r="J111" s="27" t="n">
        <f aca="false">IF(ISNUMBER(I111),D111*I111,"")</f>
        <v>4.6</v>
      </c>
      <c r="K111" s="24" t="n">
        <f aca="false">IF(G111="NOT FOUND","",INDEX(Components!$J$2:$J$500,MATCH(F111,Components!$I$2:$I$500,0)))</f>
        <v>2.055</v>
      </c>
      <c r="L111" s="24" t="n">
        <f aca="false">IF(AND(ISNUMBER(J111),ISNUMBER(K111)),J111*K111,"")</f>
        <v>9.453</v>
      </c>
      <c r="M111" s="15" t="str">
        <f aca="false">IF(G111="NOT FOUND","",IF(INDEX(Components!$G$2:$G$500,MATCH(F111,Components!$I$2:$I$500,0))="","UNKNOWN",INDEX(Components!$G$2:$G$500,MATCH(F111,Components!$I$2:$I$500,0))))</f>
        <v>KR</v>
      </c>
      <c r="N111" s="15" t="str">
        <f aca="false">IF(M111="","",IF(M111="UNKNOWN","Unknown",IF(M111=Home_Country,"Domestic","Imported")))</f>
        <v>Imported</v>
      </c>
      <c r="O111" s="15" t="str">
        <f aca="false">IF(G111="NOT FOUND","",INDEX(Components!$F$2:$F$500,MATCH(F111,Components!$I$2:$I$500,0)))</f>
        <v>SUP-08</v>
      </c>
      <c r="P111" s="28" t="n">
        <f aca="false">SUMIFS(Sales!$G$2:$G$500,Sales!$I$2:$I$500,A111)</f>
        <v>3012</v>
      </c>
      <c r="Q111" s="29" t="n">
        <f aca="false">IF(ISNUMBER(L111),L111*P111,"")</f>
        <v>28472.436</v>
      </c>
      <c r="R111" s="15" t="str">
        <f aca="false">IF(G111="NOT FOUND","Unknown component; ","")&amp;IF(I111="NO FACTOR","No unit conversion; ","")&amp;IF(AND(G111&lt;&gt;"NOT FOUND",K111=""),"Missing cost; ","")&amp;IF(M111="UNKNOWN","Missing origin; ","")</f>
        <v/>
      </c>
      <c r="S111" s="15" t="str">
        <f aca="false">IF(R111="","OK","CHECK")</f>
        <v>OK</v>
      </c>
    </row>
    <row r="112" customFormat="false" ht="15" hidden="false" customHeight="false" outlineLevel="0" collapsed="false">
      <c r="A112" s="12" t="s">
        <v>135</v>
      </c>
      <c r="B112" s="12" t="n">
        <v>80</v>
      </c>
      <c r="C112" s="12" t="s">
        <v>227</v>
      </c>
      <c r="D112" s="25" t="n">
        <v>0.06</v>
      </c>
      <c r="E112" s="12" t="s">
        <v>190</v>
      </c>
      <c r="F112" s="15" t="str">
        <f aca="false">UPPER(TRIM(C112))</f>
        <v>FRM-OIL</v>
      </c>
      <c r="G112" s="15" t="str">
        <f aca="false">IFERROR(INDEX(Components!$B$2:$B$500,MATCH(F112,Components!$I$2:$I$500,0)),"NOT FOUND")</f>
        <v>Form release agent</v>
      </c>
      <c r="H112" s="15" t="str">
        <f aca="false">IF(G112="NOT FOUND","",INDEX(Components!$C$2:$C$500,MATCH(F112,Components!$I$2:$I$500,0)))</f>
        <v>L</v>
      </c>
      <c r="I112" s="26" t="n">
        <f aca="false">IF(G112="NOT FOUND","",IF(E112=H112,1,IFERROR(INDEX(Unit_Factor,MATCH(E112&amp;"&gt;"&amp;H112,Unit_Key,0)),"NO FACTOR")))</f>
        <v>1</v>
      </c>
      <c r="J112" s="27" t="n">
        <f aca="false">IF(ISNUMBER(I112),D112*I112,"")</f>
        <v>0.06</v>
      </c>
      <c r="K112" s="24" t="n">
        <f aca="false">IF(G112="NOT FOUND","",INDEX(Components!$J$2:$J$500,MATCH(F112,Components!$I$2:$I$500,0)))</f>
        <v>1.15</v>
      </c>
      <c r="L112" s="24" t="n">
        <f aca="false">IF(AND(ISNUMBER(J112),ISNUMBER(K112)),J112*K112,"")</f>
        <v>0.069</v>
      </c>
      <c r="M112" s="15" t="str">
        <f aca="false">IF(G112="NOT FOUND","",IF(INDEX(Components!$G$2:$G$500,MATCH(F112,Components!$I$2:$I$500,0))="","UNKNOWN",INDEX(Components!$G$2:$G$500,MATCH(F112,Components!$I$2:$I$500,0))))</f>
        <v>CA</v>
      </c>
      <c r="N112" s="15" t="str">
        <f aca="false">IF(M112="","",IF(M112="UNKNOWN","Unknown",IF(M112=Home_Country,"Domestic","Imported")))</f>
        <v>Domestic</v>
      </c>
      <c r="O112" s="15" t="str">
        <f aca="false">IF(G112="NOT FOUND","",INDEX(Components!$F$2:$F$500,MATCH(F112,Components!$I$2:$I$500,0)))</f>
        <v>SUP-12</v>
      </c>
      <c r="P112" s="28" t="n">
        <f aca="false">SUMIFS(Sales!$G$2:$G$500,Sales!$I$2:$I$500,A112)</f>
        <v>3012</v>
      </c>
      <c r="Q112" s="29" t="n">
        <f aca="false">IF(ISNUMBER(L112),L112*P112,"")</f>
        <v>207.828</v>
      </c>
      <c r="R112" s="15" t="str">
        <f aca="false">IF(G112="NOT FOUND","Unknown component; ","")&amp;IF(I112="NO FACTOR","No unit conversion; ","")&amp;IF(AND(G112&lt;&gt;"NOT FOUND",K112=""),"Missing cost; ","")&amp;IF(M112="UNKNOWN","Missing origin; ","")</f>
        <v/>
      </c>
      <c r="S112" s="15" t="str">
        <f aca="false">IF(R112="","OK","CHECK")</f>
        <v>OK</v>
      </c>
    </row>
  </sheetData>
  <autoFilter ref="A1:S112"/>
  <conditionalFormatting sqref="S2:S112">
    <cfRule type="cellIs" priority="2" operator="equal" aboveAverage="0" equalAverage="0" bottom="0" percent="0" rank="0" text="" dxfId="7">
      <formula>"CHECK"</formula>
    </cfRule>
    <cfRule type="cellIs" priority="3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R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30"/>
    <col collapsed="false" customWidth="true" hidden="false" outlineLevel="0" max="18" min="18" style="0" width="9"/>
  </cols>
  <sheetData>
    <row r="1" customFormat="false" ht="30" hidden="false" customHeight="true" outlineLevel="0" collapsed="false">
      <c r="A1" s="20" t="s">
        <v>245</v>
      </c>
      <c r="B1" s="20" t="s">
        <v>246</v>
      </c>
      <c r="C1" s="20" t="s">
        <v>247</v>
      </c>
      <c r="D1" s="20" t="s">
        <v>248</v>
      </c>
      <c r="E1" s="20" t="s">
        <v>249</v>
      </c>
      <c r="F1" s="20" t="s">
        <v>93</v>
      </c>
      <c r="G1" s="20" t="s">
        <v>250</v>
      </c>
      <c r="H1" s="20" t="s">
        <v>251</v>
      </c>
      <c r="I1" s="21" t="s">
        <v>100</v>
      </c>
      <c r="J1" s="21" t="s">
        <v>95</v>
      </c>
      <c r="K1" s="21" t="s">
        <v>98</v>
      </c>
      <c r="L1" s="21" t="s">
        <v>252</v>
      </c>
      <c r="M1" s="21" t="s">
        <v>253</v>
      </c>
      <c r="N1" s="21" t="s">
        <v>254</v>
      </c>
      <c r="O1" s="21" t="s">
        <v>174</v>
      </c>
      <c r="P1" s="21" t="s">
        <v>255</v>
      </c>
      <c r="Q1" s="21" t="s">
        <v>101</v>
      </c>
      <c r="R1" s="21" t="s">
        <v>102</v>
      </c>
    </row>
    <row r="2" customFormat="false" ht="15" hidden="false" customHeight="false" outlineLevel="0" collapsed="false">
      <c r="A2" s="12" t="s">
        <v>256</v>
      </c>
      <c r="B2" s="30" t="n">
        <v>45664</v>
      </c>
      <c r="C2" s="12" t="s">
        <v>257</v>
      </c>
      <c r="D2" s="12" t="s">
        <v>258</v>
      </c>
      <c r="E2" s="12" t="s">
        <v>70</v>
      </c>
      <c r="F2" s="12" t="s">
        <v>108</v>
      </c>
      <c r="G2" s="23" t="n">
        <v>15</v>
      </c>
      <c r="H2" s="22" t="n">
        <v>1083.73</v>
      </c>
      <c r="I2" s="15" t="str">
        <f aca="false">UPPER(TRIM(F2))</f>
        <v>PC-RCP-0900</v>
      </c>
      <c r="J2" s="15" t="str">
        <f aca="false">IFERROR(INDEX(Items!$C$2:$C$500,MATCH(I2,Items!$H$2:$H$500,0)),"UNKNOWN")</f>
        <v>Pipe</v>
      </c>
      <c r="K2" s="24" t="n">
        <f aca="false">IF(J2="UNKNOWN","",INDEX(Items!$F$2:$F$500,MATCH(I2,Items!$H$2:$H$500,0)))</f>
        <v>1150</v>
      </c>
      <c r="L2" s="24" t="n">
        <f aca="false">IF(ISNUMBER(H2),G2*H2,"")</f>
        <v>16255.95</v>
      </c>
      <c r="M2" s="28" t="n">
        <f aca="false">IF(ISNUMBER(H2),G2,0)</f>
        <v>15</v>
      </c>
      <c r="N2" s="31" t="n">
        <f aca="false">IF(AND(ISNUMBER(H2),ISNUMBER(K2)),1-H2/K2,"")</f>
        <v>0.0576260869565217</v>
      </c>
      <c r="O2" s="24" t="n">
        <f aca="false">IF(J2="UNKNOWN","",INDEX(Cost_Rollup!$F$5:$F$16,MATCH(I2,Cost_Rollup!$A$5:$A$16,0)))</f>
        <v>750.4337265687</v>
      </c>
      <c r="P2" s="24" t="n">
        <f aca="false">IF(AND(ISNUMBER(L2),ISNUMBER(O2)),G2*O2,"")</f>
        <v>11256.5058985305</v>
      </c>
      <c r="Q2" s="15" t="str">
        <f aca="false">IF(H2="","Missing price; ","")&amp;IF(J2="UNKNOWN","Unknown item; ","")&amp;IF(AND(ISNUMBER(N2),N2&gt;Discount_Threshold),"Discount above limit; ","")</f>
        <v/>
      </c>
      <c r="R2" s="15" t="str">
        <f aca="false">IF(Q2="","OK","CHECK")</f>
        <v>OK</v>
      </c>
    </row>
    <row r="3" customFormat="false" ht="15" hidden="false" customHeight="false" outlineLevel="0" collapsed="false">
      <c r="A3" s="12" t="s">
        <v>259</v>
      </c>
      <c r="B3" s="30" t="n">
        <v>45664</v>
      </c>
      <c r="C3" s="12" t="s">
        <v>260</v>
      </c>
      <c r="D3" s="12" t="s">
        <v>258</v>
      </c>
      <c r="E3" s="12" t="s">
        <v>70</v>
      </c>
      <c r="F3" s="12" t="s">
        <v>108</v>
      </c>
      <c r="G3" s="23" t="n">
        <v>28</v>
      </c>
      <c r="H3" s="22" t="n">
        <v>1090.02</v>
      </c>
      <c r="I3" s="15" t="str">
        <f aca="false">UPPER(TRIM(F3))</f>
        <v>PC-RCP-0900</v>
      </c>
      <c r="J3" s="15" t="str">
        <f aca="false">IFERROR(INDEX(Items!$C$2:$C$500,MATCH(I3,Items!$H$2:$H$500,0)),"UNKNOWN")</f>
        <v>Pipe</v>
      </c>
      <c r="K3" s="24" t="n">
        <f aca="false">IF(J3="UNKNOWN","",INDEX(Items!$F$2:$F$500,MATCH(I3,Items!$H$2:$H$500,0)))</f>
        <v>1150</v>
      </c>
      <c r="L3" s="24" t="n">
        <f aca="false">IF(ISNUMBER(H3),G3*H3,"")</f>
        <v>30520.56</v>
      </c>
      <c r="M3" s="28" t="n">
        <f aca="false">IF(ISNUMBER(H3),G3,0)</f>
        <v>28</v>
      </c>
      <c r="N3" s="31" t="n">
        <f aca="false">IF(AND(ISNUMBER(H3),ISNUMBER(K3)),1-H3/K3,"")</f>
        <v>0.0521565217391304</v>
      </c>
      <c r="O3" s="24" t="n">
        <f aca="false">IF(J3="UNKNOWN","",INDEX(Cost_Rollup!$F$5:$F$16,MATCH(I3,Cost_Rollup!$A$5:$A$16,0)))</f>
        <v>750.4337265687</v>
      </c>
      <c r="P3" s="24" t="n">
        <f aca="false">IF(AND(ISNUMBER(L3),ISNUMBER(O3)),G3*O3,"")</f>
        <v>21012.1443439236</v>
      </c>
      <c r="Q3" s="15" t="str">
        <f aca="false">IF(H3="","Missing price; ","")&amp;IF(J3="UNKNOWN","Unknown item; ","")&amp;IF(AND(ISNUMBER(N3),N3&gt;Discount_Threshold),"Discount above limit; ","")</f>
        <v/>
      </c>
      <c r="R3" s="15" t="str">
        <f aca="false">IF(Q3="","OK","CHECK")</f>
        <v>OK</v>
      </c>
    </row>
    <row r="4" customFormat="false" ht="15" hidden="false" customHeight="false" outlineLevel="0" collapsed="false">
      <c r="A4" s="12" t="s">
        <v>261</v>
      </c>
      <c r="B4" s="30" t="n">
        <v>45665</v>
      </c>
      <c r="C4" s="12" t="s">
        <v>257</v>
      </c>
      <c r="D4" s="12" t="s">
        <v>258</v>
      </c>
      <c r="E4" s="12" t="s">
        <v>70</v>
      </c>
      <c r="F4" s="12" t="s">
        <v>125</v>
      </c>
      <c r="G4" s="23" t="n">
        <v>31</v>
      </c>
      <c r="H4" s="22" t="n">
        <v>1466.46</v>
      </c>
      <c r="I4" s="15" t="str">
        <f aca="false">UPPER(TRIM(F4))</f>
        <v>PC-BAR-F38</v>
      </c>
      <c r="J4" s="15" t="str">
        <f aca="false">IFERROR(INDEX(Items!$C$2:$C$500,MATCH(I4,Items!$H$2:$H$500,0)),"UNKNOWN")</f>
        <v>Barrier</v>
      </c>
      <c r="K4" s="24" t="n">
        <f aca="false">IF(J4="UNKNOWN","",INDEX(Items!$F$2:$F$500,MATCH(I4,Items!$H$2:$H$500,0)))</f>
        <v>1450</v>
      </c>
      <c r="L4" s="24" t="n">
        <f aca="false">IF(ISNUMBER(H4),G4*H4,"")</f>
        <v>45460.26</v>
      </c>
      <c r="M4" s="28" t="n">
        <f aca="false">IF(ISNUMBER(H4),G4,0)</f>
        <v>31</v>
      </c>
      <c r="N4" s="31" t="n">
        <f aca="false">IF(AND(ISNUMBER(H4),ISNUMBER(K4)),1-H4/K4,"")</f>
        <v>-0.0113517241379311</v>
      </c>
      <c r="O4" s="24" t="n">
        <f aca="false">IF(J4="UNKNOWN","",INDEX(Cost_Rollup!$F$5:$F$16,MATCH(I4,Cost_Rollup!$A$5:$A$16,0)))</f>
        <v>978.66328</v>
      </c>
      <c r="P4" s="24" t="n">
        <f aca="false">IF(AND(ISNUMBER(L4),ISNUMBER(O4)),G4*O4,"")</f>
        <v>30338.56168</v>
      </c>
      <c r="Q4" s="15" t="str">
        <f aca="false">IF(H4="","Missing price; ","")&amp;IF(J4="UNKNOWN","Unknown item; ","")&amp;IF(AND(ISNUMBER(N4),N4&gt;Discount_Threshold),"Discount above limit; ","")</f>
        <v/>
      </c>
      <c r="R4" s="15" t="str">
        <f aca="false">IF(Q4="","OK","CHECK")</f>
        <v>OK</v>
      </c>
    </row>
    <row r="5" customFormat="false" ht="15" hidden="false" customHeight="false" outlineLevel="0" collapsed="false">
      <c r="A5" s="12" t="s">
        <v>262</v>
      </c>
      <c r="B5" s="30" t="n">
        <v>45667</v>
      </c>
      <c r="C5" s="12" t="s">
        <v>263</v>
      </c>
      <c r="D5" s="12" t="s">
        <v>258</v>
      </c>
      <c r="E5" s="12" t="s">
        <v>70</v>
      </c>
      <c r="F5" s="12" t="s">
        <v>110</v>
      </c>
      <c r="G5" s="23" t="n">
        <v>24</v>
      </c>
      <c r="H5" s="22" t="n">
        <v>1934.39</v>
      </c>
      <c r="I5" s="15" t="str">
        <f aca="false">UPPER(TRIM(F5))</f>
        <v>PC-RCP-1200</v>
      </c>
      <c r="J5" s="15" t="str">
        <f aca="false">IFERROR(INDEX(Items!$C$2:$C$500,MATCH(I5,Items!$H$2:$H$500,0)),"UNKNOWN")</f>
        <v>Pipe</v>
      </c>
      <c r="K5" s="24" t="n">
        <f aca="false">IF(J5="UNKNOWN","",INDEX(Items!$F$2:$F$500,MATCH(I5,Items!$H$2:$H$500,0)))</f>
        <v>1890</v>
      </c>
      <c r="L5" s="24" t="n">
        <f aca="false">IF(ISNUMBER(H5),G5*H5,"")</f>
        <v>46425.36</v>
      </c>
      <c r="M5" s="28" t="n">
        <f aca="false">IF(ISNUMBER(H5),G5,0)</f>
        <v>24</v>
      </c>
      <c r="N5" s="31" t="n">
        <f aca="false">IF(AND(ISNUMBER(H5),ISNUMBER(K5)),1-H5/K5,"")</f>
        <v>-0.0234867724867724</v>
      </c>
      <c r="O5" s="24" t="n">
        <f aca="false">IF(J5="UNKNOWN","",INDEX(Cost_Rollup!$F$5:$F$16,MATCH(I5,Cost_Rollup!$A$5:$A$16,0)))</f>
        <v>1206.4054</v>
      </c>
      <c r="P5" s="24" t="n">
        <f aca="false">IF(AND(ISNUMBER(L5),ISNUMBER(O5)),G5*O5,"")</f>
        <v>28953.7296</v>
      </c>
      <c r="Q5" s="15" t="str">
        <f aca="false">IF(H5="","Missing price; ","")&amp;IF(J5="UNKNOWN","Unknown item; ","")&amp;IF(AND(ISNUMBER(N5),N5&gt;Discount_Threshold),"Discount above limit; ","")</f>
        <v/>
      </c>
      <c r="R5" s="15" t="str">
        <f aca="false">IF(Q5="","OK","CHECK")</f>
        <v>OK</v>
      </c>
    </row>
    <row r="6" customFormat="false" ht="15" hidden="false" customHeight="false" outlineLevel="0" collapsed="false">
      <c r="A6" s="12" t="s">
        <v>264</v>
      </c>
      <c r="B6" s="30" t="n">
        <v>45668</v>
      </c>
      <c r="C6" s="12" t="s">
        <v>265</v>
      </c>
      <c r="D6" s="12" t="s">
        <v>266</v>
      </c>
      <c r="E6" s="12" t="s">
        <v>70</v>
      </c>
      <c r="F6" s="12" t="s">
        <v>122</v>
      </c>
      <c r="G6" s="23" t="n">
        <v>2</v>
      </c>
      <c r="H6" s="22" t="n">
        <v>714.72</v>
      </c>
      <c r="I6" s="15" t="str">
        <f aca="false">UPPER(TRIM(F6))</f>
        <v>PC-CB-0600</v>
      </c>
      <c r="J6" s="15" t="str">
        <f aca="false">IFERROR(INDEX(Items!$C$2:$C$500,MATCH(I6,Items!$H$2:$H$500,0)),"UNKNOWN")</f>
        <v>Catch Basin</v>
      </c>
      <c r="K6" s="24" t="n">
        <f aca="false">IF(J6="UNKNOWN","",INDEX(Items!$F$2:$F$500,MATCH(I6,Items!$H$2:$H$500,0)))</f>
        <v>690</v>
      </c>
      <c r="L6" s="24" t="n">
        <f aca="false">IF(ISNUMBER(H6),G6*H6,"")</f>
        <v>1429.44</v>
      </c>
      <c r="M6" s="28" t="n">
        <f aca="false">IF(ISNUMBER(H6),G6,0)</f>
        <v>2</v>
      </c>
      <c r="N6" s="31" t="n">
        <f aca="false">IF(AND(ISNUMBER(H6),ISNUMBER(K6)),1-H6/K6,"")</f>
        <v>-0.0358260869565217</v>
      </c>
      <c r="O6" s="24" t="n">
        <f aca="false">IF(J6="UNKNOWN","",INDEX(Cost_Rollup!$F$5:$F$16,MATCH(I6,Cost_Rollup!$A$5:$A$16,0)))</f>
        <v>471.0488</v>
      </c>
      <c r="P6" s="24" t="n">
        <f aca="false">IF(AND(ISNUMBER(L6),ISNUMBER(O6)),G6*O6,"")</f>
        <v>942.0976</v>
      </c>
      <c r="Q6" s="15" t="str">
        <f aca="false">IF(H6="","Missing price; ","")&amp;IF(J6="UNKNOWN","Unknown item; ","")&amp;IF(AND(ISNUMBER(N6),N6&gt;Discount_Threshold),"Discount above limit; ","")</f>
        <v/>
      </c>
      <c r="R6" s="15" t="str">
        <f aca="false">IF(Q6="","OK","CHECK")</f>
        <v>OK</v>
      </c>
    </row>
    <row r="7" customFormat="false" ht="15" hidden="false" customHeight="false" outlineLevel="0" collapsed="false">
      <c r="A7" s="12" t="s">
        <v>267</v>
      </c>
      <c r="B7" s="30" t="n">
        <v>45668</v>
      </c>
      <c r="C7" s="12" t="s">
        <v>268</v>
      </c>
      <c r="D7" s="12" t="s">
        <v>269</v>
      </c>
      <c r="E7" s="12" t="s">
        <v>70</v>
      </c>
      <c r="F7" s="12" t="s">
        <v>125</v>
      </c>
      <c r="G7" s="23" t="n">
        <v>21</v>
      </c>
      <c r="H7" s="22" t="n">
        <v>1331.51</v>
      </c>
      <c r="I7" s="15" t="str">
        <f aca="false">UPPER(TRIM(F7))</f>
        <v>PC-BAR-F38</v>
      </c>
      <c r="J7" s="15" t="str">
        <f aca="false">IFERROR(INDEX(Items!$C$2:$C$500,MATCH(I7,Items!$H$2:$H$500,0)),"UNKNOWN")</f>
        <v>Barrier</v>
      </c>
      <c r="K7" s="24" t="n">
        <f aca="false">IF(J7="UNKNOWN","",INDEX(Items!$F$2:$F$500,MATCH(I7,Items!$H$2:$H$500,0)))</f>
        <v>1450</v>
      </c>
      <c r="L7" s="24" t="n">
        <f aca="false">IF(ISNUMBER(H7),G7*H7,"")</f>
        <v>27961.71</v>
      </c>
      <c r="M7" s="28" t="n">
        <f aca="false">IF(ISNUMBER(H7),G7,0)</f>
        <v>21</v>
      </c>
      <c r="N7" s="31" t="n">
        <f aca="false">IF(AND(ISNUMBER(H7),ISNUMBER(K7)),1-H7/K7,"")</f>
        <v>0.0817172413793104</v>
      </c>
      <c r="O7" s="24" t="n">
        <f aca="false">IF(J7="UNKNOWN","",INDEX(Cost_Rollup!$F$5:$F$16,MATCH(I7,Cost_Rollup!$A$5:$A$16,0)))</f>
        <v>978.66328</v>
      </c>
      <c r="P7" s="24" t="n">
        <f aca="false">IF(AND(ISNUMBER(L7),ISNUMBER(O7)),G7*O7,"")</f>
        <v>20551.92888</v>
      </c>
      <c r="Q7" s="15" t="str">
        <f aca="false">IF(H7="","Missing price; ","")&amp;IF(J7="UNKNOWN","Unknown item; ","")&amp;IF(AND(ISNUMBER(N7),N7&gt;Discount_Threshold),"Discount above limit; ","")</f>
        <v/>
      </c>
      <c r="R7" s="15" t="str">
        <f aca="false">IF(Q7="","OK","CHECK")</f>
        <v>OK</v>
      </c>
    </row>
    <row r="8" customFormat="false" ht="15" hidden="false" customHeight="false" outlineLevel="0" collapsed="false">
      <c r="A8" s="12" t="s">
        <v>270</v>
      </c>
      <c r="B8" s="30" t="n">
        <v>45668</v>
      </c>
      <c r="C8" s="12" t="s">
        <v>260</v>
      </c>
      <c r="D8" s="12" t="s">
        <v>258</v>
      </c>
      <c r="E8" s="12" t="s">
        <v>70</v>
      </c>
      <c r="F8" s="12" t="s">
        <v>110</v>
      </c>
      <c r="G8" s="23" t="n">
        <v>14</v>
      </c>
      <c r="H8" s="22" t="n">
        <v>1958.27</v>
      </c>
      <c r="I8" s="15" t="str">
        <f aca="false">UPPER(TRIM(F8))</f>
        <v>PC-RCP-1200</v>
      </c>
      <c r="J8" s="15" t="str">
        <f aca="false">IFERROR(INDEX(Items!$C$2:$C$500,MATCH(I8,Items!$H$2:$H$500,0)),"UNKNOWN")</f>
        <v>Pipe</v>
      </c>
      <c r="K8" s="24" t="n">
        <f aca="false">IF(J8="UNKNOWN","",INDEX(Items!$F$2:$F$500,MATCH(I8,Items!$H$2:$H$500,0)))</f>
        <v>1890</v>
      </c>
      <c r="L8" s="24" t="n">
        <f aca="false">IF(ISNUMBER(H8),G8*H8,"")</f>
        <v>27415.78</v>
      </c>
      <c r="M8" s="28" t="n">
        <f aca="false">IF(ISNUMBER(H8),G8,0)</f>
        <v>14</v>
      </c>
      <c r="N8" s="31" t="n">
        <f aca="false">IF(AND(ISNUMBER(H8),ISNUMBER(K8)),1-H8/K8,"")</f>
        <v>-0.0361216931216932</v>
      </c>
      <c r="O8" s="24" t="n">
        <f aca="false">IF(J8="UNKNOWN","",INDEX(Cost_Rollup!$F$5:$F$16,MATCH(I8,Cost_Rollup!$A$5:$A$16,0)))</f>
        <v>1206.4054</v>
      </c>
      <c r="P8" s="24" t="n">
        <f aca="false">IF(AND(ISNUMBER(L8),ISNUMBER(O8)),G8*O8,"")</f>
        <v>16889.6756</v>
      </c>
      <c r="Q8" s="15" t="str">
        <f aca="false">IF(H8="","Missing price; ","")&amp;IF(J8="UNKNOWN","Unknown item; ","")&amp;IF(AND(ISNUMBER(N8),N8&gt;Discount_Threshold),"Discount above limit; ","")</f>
        <v/>
      </c>
      <c r="R8" s="15" t="str">
        <f aca="false">IF(Q8="","OK","CHECK")</f>
        <v>OK</v>
      </c>
    </row>
    <row r="9" customFormat="false" ht="15" hidden="false" customHeight="false" outlineLevel="0" collapsed="false">
      <c r="A9" s="12" t="s">
        <v>271</v>
      </c>
      <c r="B9" s="30" t="n">
        <v>45670</v>
      </c>
      <c r="C9" s="12" t="s">
        <v>260</v>
      </c>
      <c r="D9" s="12" t="s">
        <v>258</v>
      </c>
      <c r="E9" s="12" t="s">
        <v>70</v>
      </c>
      <c r="F9" s="12" t="s">
        <v>103</v>
      </c>
      <c r="G9" s="23" t="n">
        <v>18</v>
      </c>
      <c r="H9" s="22" t="n">
        <v>628.03</v>
      </c>
      <c r="I9" s="15" t="str">
        <f aca="false">UPPER(TRIM(F9))</f>
        <v>PC-RCP-0600</v>
      </c>
      <c r="J9" s="15" t="str">
        <f aca="false">IFERROR(INDEX(Items!$C$2:$C$500,MATCH(I9,Items!$H$2:$H$500,0)),"UNKNOWN")</f>
        <v>Pipe</v>
      </c>
      <c r="K9" s="24" t="n">
        <f aca="false">IF(J9="UNKNOWN","",INDEX(Items!$F$2:$F$500,MATCH(I9,Items!$H$2:$H$500,0)))</f>
        <v>640</v>
      </c>
      <c r="L9" s="24" t="n">
        <f aca="false">IF(ISNUMBER(H9),G9*H9,"")</f>
        <v>11304.54</v>
      </c>
      <c r="M9" s="28" t="n">
        <f aca="false">IF(ISNUMBER(H9),G9,0)</f>
        <v>18</v>
      </c>
      <c r="N9" s="31" t="n">
        <f aca="false">IF(AND(ISNUMBER(H9),ISNUMBER(K9)),1-H9/K9,"")</f>
        <v>0.018703125</v>
      </c>
      <c r="O9" s="24" t="n">
        <f aca="false">IF(J9="UNKNOWN","",INDEX(Cost_Rollup!$F$5:$F$16,MATCH(I9,Cost_Rollup!$A$5:$A$16,0)))</f>
        <v>429.94832</v>
      </c>
      <c r="P9" s="24" t="n">
        <f aca="false">IF(AND(ISNUMBER(L9),ISNUMBER(O9)),G9*O9,"")</f>
        <v>7739.06976</v>
      </c>
      <c r="Q9" s="15" t="str">
        <f aca="false">IF(H9="","Missing price; ","")&amp;IF(J9="UNKNOWN","Unknown item; ","")&amp;IF(AND(ISNUMBER(N9),N9&gt;Discount_Threshold),"Discount above limit; ","")</f>
        <v/>
      </c>
      <c r="R9" s="15" t="str">
        <f aca="false">IF(Q9="","OK","CHECK")</f>
        <v>OK</v>
      </c>
    </row>
    <row r="10" customFormat="false" ht="15" hidden="false" customHeight="false" outlineLevel="0" collapsed="false">
      <c r="A10" s="12" t="s">
        <v>272</v>
      </c>
      <c r="B10" s="30" t="n">
        <v>45670</v>
      </c>
      <c r="C10" s="12" t="s">
        <v>273</v>
      </c>
      <c r="D10" s="12" t="s">
        <v>274</v>
      </c>
      <c r="E10" s="12" t="s">
        <v>147</v>
      </c>
      <c r="F10" s="12" t="s">
        <v>120</v>
      </c>
      <c r="G10" s="23" t="n">
        <v>2</v>
      </c>
      <c r="H10" s="22" t="n">
        <v>500.11</v>
      </c>
      <c r="I10" s="15" t="str">
        <f aca="false">UPPER(TRIM(F10))</f>
        <v>PC-MH-1200R</v>
      </c>
      <c r="J10" s="15" t="str">
        <f aca="false">IFERROR(INDEX(Items!$C$2:$C$500,MATCH(I10,Items!$H$2:$H$500,0)),"UNKNOWN")</f>
        <v>Manhole</v>
      </c>
      <c r="K10" s="24" t="n">
        <f aca="false">IF(J10="UNKNOWN","",INDEX(Items!$F$2:$F$500,MATCH(I10,Items!$H$2:$H$500,0)))</f>
        <v>520</v>
      </c>
      <c r="L10" s="24" t="n">
        <f aca="false">IF(ISNUMBER(H10),G10*H10,"")</f>
        <v>1000.22</v>
      </c>
      <c r="M10" s="28" t="n">
        <f aca="false">IF(ISNUMBER(H10),G10,0)</f>
        <v>2</v>
      </c>
      <c r="N10" s="31" t="n">
        <f aca="false">IF(AND(ISNUMBER(H10),ISNUMBER(K10)),1-H10/K10,"")</f>
        <v>0.03825</v>
      </c>
      <c r="O10" s="24" t="n">
        <f aca="false">IF(J10="UNKNOWN","",INDEX(Cost_Rollup!$F$5:$F$16,MATCH(I10,Cost_Rollup!$A$5:$A$16,0)))</f>
        <v>381.98428</v>
      </c>
      <c r="P10" s="24" t="n">
        <f aca="false">IF(AND(ISNUMBER(L10),ISNUMBER(O10)),G10*O10,"")</f>
        <v>763.96856</v>
      </c>
      <c r="Q10" s="15" t="str">
        <f aca="false">IF(H10="","Missing price; ","")&amp;IF(J10="UNKNOWN","Unknown item; ","")&amp;IF(AND(ISNUMBER(N10),N10&gt;Discount_Threshold),"Discount above limit; ","")</f>
        <v/>
      </c>
      <c r="R10" s="15" t="str">
        <f aca="false">IF(Q10="","OK","CHECK")</f>
        <v>OK</v>
      </c>
    </row>
    <row r="11" customFormat="false" ht="15" hidden="false" customHeight="false" outlineLevel="0" collapsed="false">
      <c r="A11" s="12" t="s">
        <v>275</v>
      </c>
      <c r="B11" s="30" t="n">
        <v>45672</v>
      </c>
      <c r="C11" s="12" t="s">
        <v>276</v>
      </c>
      <c r="D11" s="12" t="s">
        <v>277</v>
      </c>
      <c r="E11" s="12" t="s">
        <v>70</v>
      </c>
      <c r="F11" s="12" t="s">
        <v>112</v>
      </c>
      <c r="G11" s="23" t="n">
        <v>6</v>
      </c>
      <c r="H11" s="22" t="n">
        <v>4116.71</v>
      </c>
      <c r="I11" s="15" t="str">
        <f aca="false">UPPER(TRIM(F11))</f>
        <v>PC-BOX-1812</v>
      </c>
      <c r="J11" s="15" t="str">
        <f aca="false">IFERROR(INDEX(Items!$C$2:$C$500,MATCH(I11,Items!$H$2:$H$500,0)),"UNKNOWN")</f>
        <v>Box Culvert</v>
      </c>
      <c r="K11" s="24" t="n">
        <f aca="false">IF(J11="UNKNOWN","",INDEX(Items!$F$2:$F$500,MATCH(I11,Items!$H$2:$H$500,0)))</f>
        <v>4200</v>
      </c>
      <c r="L11" s="24" t="n">
        <f aca="false">IF(ISNUMBER(H11),G11*H11,"")</f>
        <v>24700.26</v>
      </c>
      <c r="M11" s="28" t="n">
        <f aca="false">IF(ISNUMBER(H11),G11,0)</f>
        <v>6</v>
      </c>
      <c r="N11" s="31" t="n">
        <f aca="false">IF(AND(ISNUMBER(H11),ISNUMBER(K11)),1-H11/K11,"")</f>
        <v>0.0198309523809523</v>
      </c>
      <c r="O11" s="24" t="n">
        <f aca="false">IF(J11="UNKNOWN","",INDEX(Cost_Rollup!$F$5:$F$16,MATCH(I11,Cost_Rollup!$A$5:$A$16,0)))</f>
        <v>2795.3624</v>
      </c>
      <c r="P11" s="24" t="n">
        <f aca="false">IF(AND(ISNUMBER(L11),ISNUMBER(O11)),G11*O11,"")</f>
        <v>16772.1744</v>
      </c>
      <c r="Q11" s="15" t="str">
        <f aca="false">IF(H11="","Missing price; ","")&amp;IF(J11="UNKNOWN","Unknown item; ","")&amp;IF(AND(ISNUMBER(N11),N11&gt;Discount_Threshold),"Discount above limit; ","")</f>
        <v/>
      </c>
      <c r="R11" s="15" t="str">
        <f aca="false">IF(Q11="","OK","CHECK")</f>
        <v>OK</v>
      </c>
    </row>
    <row r="12" customFormat="false" ht="15" hidden="false" customHeight="false" outlineLevel="0" collapsed="false">
      <c r="A12" s="12" t="s">
        <v>278</v>
      </c>
      <c r="B12" s="30" t="n">
        <v>45673</v>
      </c>
      <c r="C12" s="12" t="s">
        <v>279</v>
      </c>
      <c r="D12" s="12" t="s">
        <v>280</v>
      </c>
      <c r="E12" s="12" t="s">
        <v>147</v>
      </c>
      <c r="F12" s="12" t="s">
        <v>129</v>
      </c>
      <c r="G12" s="23" t="n">
        <v>23</v>
      </c>
      <c r="H12" s="22" t="n">
        <v>2427.02</v>
      </c>
      <c r="I12" s="15" t="str">
        <f aca="false">UPPER(TRIM(F12))</f>
        <v>PC-BAR-SS60</v>
      </c>
      <c r="J12" s="15" t="str">
        <f aca="false">IFERROR(INDEX(Items!$C$2:$C$500,MATCH(I12,Items!$H$2:$H$500,0)),"UNKNOWN")</f>
        <v>Barrier</v>
      </c>
      <c r="K12" s="24" t="n">
        <f aca="false">IF(J12="UNKNOWN","",INDEX(Items!$F$2:$F$500,MATCH(I12,Items!$H$2:$H$500,0)))</f>
        <v>2350</v>
      </c>
      <c r="L12" s="24" t="n">
        <f aca="false">IF(ISNUMBER(H12),G12*H12,"")</f>
        <v>55821.46</v>
      </c>
      <c r="M12" s="28" t="n">
        <f aca="false">IF(ISNUMBER(H12),G12,0)</f>
        <v>23</v>
      </c>
      <c r="N12" s="31" t="n">
        <f aca="false">IF(AND(ISNUMBER(H12),ISNUMBER(K12)),1-H12/K12,"")</f>
        <v>-0.0327744680851063</v>
      </c>
      <c r="O12" s="24" t="n">
        <f aca="false">IF(J12="UNKNOWN","",INDEX(Cost_Rollup!$F$5:$F$16,MATCH(I12,Cost_Rollup!$A$5:$A$16,0)))</f>
        <v>1583.5454</v>
      </c>
      <c r="P12" s="24" t="n">
        <f aca="false">IF(AND(ISNUMBER(L12),ISNUMBER(O12)),G12*O12,"")</f>
        <v>36421.5442</v>
      </c>
      <c r="Q12" s="15" t="str">
        <f aca="false">IF(H12="","Missing price; ","")&amp;IF(J12="UNKNOWN","Unknown item; ","")&amp;IF(AND(ISNUMBER(N12),N12&gt;Discount_Threshold),"Discount above limit; ","")</f>
        <v/>
      </c>
      <c r="R12" s="15" t="str">
        <f aca="false">IF(Q12="","OK","CHECK")</f>
        <v>OK</v>
      </c>
    </row>
    <row r="13" customFormat="false" ht="15" hidden="false" customHeight="false" outlineLevel="0" collapsed="false">
      <c r="A13" s="12" t="s">
        <v>281</v>
      </c>
      <c r="B13" s="30" t="n">
        <v>45674</v>
      </c>
      <c r="C13" s="12" t="s">
        <v>279</v>
      </c>
      <c r="D13" s="12" t="s">
        <v>280</v>
      </c>
      <c r="E13" s="12" t="s">
        <v>147</v>
      </c>
      <c r="F13" s="12" t="s">
        <v>118</v>
      </c>
      <c r="G13" s="23" t="n">
        <v>5</v>
      </c>
      <c r="H13" s="22" t="n">
        <v>1261.22</v>
      </c>
      <c r="I13" s="15" t="str">
        <f aca="false">UPPER(TRIM(F13))</f>
        <v>PC-MH-1200B</v>
      </c>
      <c r="J13" s="15" t="str">
        <f aca="false">IFERROR(INDEX(Items!$C$2:$C$500,MATCH(I13,Items!$H$2:$H$500,0)),"UNKNOWN")</f>
        <v>Manhole</v>
      </c>
      <c r="K13" s="24" t="n">
        <f aca="false">IF(J13="UNKNOWN","",INDEX(Items!$F$2:$F$500,MATCH(I13,Items!$H$2:$H$500,0)))</f>
        <v>1240</v>
      </c>
      <c r="L13" s="24" t="n">
        <f aca="false">IF(ISNUMBER(H13),G13*H13,"")</f>
        <v>6306.1</v>
      </c>
      <c r="M13" s="28" t="n">
        <f aca="false">IF(ISNUMBER(H13),G13,0)</f>
        <v>5</v>
      </c>
      <c r="N13" s="31" t="n">
        <f aca="false">IF(AND(ISNUMBER(H13),ISNUMBER(K13)),1-H13/K13,"")</f>
        <v>-0.0171129032258064</v>
      </c>
      <c r="O13" s="24" t="n">
        <f aca="false">IF(J13="UNKNOWN","",INDEX(Cost_Rollup!$F$5:$F$16,MATCH(I13,Cost_Rollup!$A$5:$A$16,0)))</f>
        <v>753.4208</v>
      </c>
      <c r="P13" s="24" t="n">
        <f aca="false">IF(AND(ISNUMBER(L13),ISNUMBER(O13)),G13*O13,"")</f>
        <v>3767.104</v>
      </c>
      <c r="Q13" s="15" t="str">
        <f aca="false">IF(H13="","Missing price; ","")&amp;IF(J13="UNKNOWN","Unknown item; ","")&amp;IF(AND(ISNUMBER(N13),N13&gt;Discount_Threshold),"Discount above limit; ","")</f>
        <v/>
      </c>
      <c r="R13" s="15" t="str">
        <f aca="false">IF(Q13="","OK","CHECK")</f>
        <v>OK</v>
      </c>
    </row>
    <row r="14" customFormat="false" ht="15" hidden="false" customHeight="false" outlineLevel="0" collapsed="false">
      <c r="A14" s="12" t="s">
        <v>282</v>
      </c>
      <c r="B14" s="30" t="n">
        <v>45677</v>
      </c>
      <c r="C14" s="12" t="s">
        <v>260</v>
      </c>
      <c r="D14" s="12" t="s">
        <v>258</v>
      </c>
      <c r="E14" s="12" t="s">
        <v>70</v>
      </c>
      <c r="F14" s="12" t="s">
        <v>112</v>
      </c>
      <c r="G14" s="23" t="n">
        <v>5</v>
      </c>
      <c r="H14" s="22" t="n">
        <v>3882.79</v>
      </c>
      <c r="I14" s="15" t="str">
        <f aca="false">UPPER(TRIM(F14))</f>
        <v>PC-BOX-1812</v>
      </c>
      <c r="J14" s="15" t="str">
        <f aca="false">IFERROR(INDEX(Items!$C$2:$C$500,MATCH(I14,Items!$H$2:$H$500,0)),"UNKNOWN")</f>
        <v>Box Culvert</v>
      </c>
      <c r="K14" s="24" t="n">
        <f aca="false">IF(J14="UNKNOWN","",INDEX(Items!$F$2:$F$500,MATCH(I14,Items!$H$2:$H$500,0)))</f>
        <v>4200</v>
      </c>
      <c r="L14" s="24" t="n">
        <f aca="false">IF(ISNUMBER(H14),G14*H14,"")</f>
        <v>19413.95</v>
      </c>
      <c r="M14" s="28" t="n">
        <f aca="false">IF(ISNUMBER(H14),G14,0)</f>
        <v>5</v>
      </c>
      <c r="N14" s="31" t="n">
        <f aca="false">IF(AND(ISNUMBER(H14),ISNUMBER(K14)),1-H14/K14,"")</f>
        <v>0.0755261904761905</v>
      </c>
      <c r="O14" s="24" t="n">
        <f aca="false">IF(J14="UNKNOWN","",INDEX(Cost_Rollup!$F$5:$F$16,MATCH(I14,Cost_Rollup!$A$5:$A$16,0)))</f>
        <v>2795.3624</v>
      </c>
      <c r="P14" s="24" t="n">
        <f aca="false">IF(AND(ISNUMBER(L14),ISNUMBER(O14)),G14*O14,"")</f>
        <v>13976.812</v>
      </c>
      <c r="Q14" s="15" t="str">
        <f aca="false">IF(H14="","Missing price; ","")&amp;IF(J14="UNKNOWN","Unknown item; ","")&amp;IF(AND(ISNUMBER(N14),N14&gt;Discount_Threshold),"Discount above limit; ","")</f>
        <v/>
      </c>
      <c r="R14" s="15" t="str">
        <f aca="false">IF(Q14="","OK","CHECK")</f>
        <v>OK</v>
      </c>
    </row>
    <row r="15" customFormat="false" ht="15" hidden="false" customHeight="false" outlineLevel="0" collapsed="false">
      <c r="A15" s="12" t="s">
        <v>283</v>
      </c>
      <c r="B15" s="30" t="n">
        <v>45680</v>
      </c>
      <c r="C15" s="12" t="s">
        <v>268</v>
      </c>
      <c r="D15" s="12" t="s">
        <v>269</v>
      </c>
      <c r="E15" s="12" t="s">
        <v>70</v>
      </c>
      <c r="F15" s="12" t="s">
        <v>115</v>
      </c>
      <c r="G15" s="23" t="n">
        <v>3</v>
      </c>
      <c r="H15" s="22" t="n">
        <v>901.1</v>
      </c>
      <c r="I15" s="15" t="str">
        <f aca="false">UPPER(TRIM(F15))</f>
        <v>PC-MH-1050B</v>
      </c>
      <c r="J15" s="15" t="str">
        <f aca="false">IFERROR(INDEX(Items!$C$2:$C$500,MATCH(I15,Items!$H$2:$H$500,0)),"UNKNOWN")</f>
        <v>Manhole</v>
      </c>
      <c r="K15" s="24" t="n">
        <f aca="false">IF(J15="UNKNOWN","",INDEX(Items!$F$2:$F$500,MATCH(I15,Items!$H$2:$H$500,0)))</f>
        <v>980</v>
      </c>
      <c r="L15" s="24" t="n">
        <f aca="false">IF(ISNUMBER(H15),G15*H15,"")</f>
        <v>2703.3</v>
      </c>
      <c r="M15" s="28" t="n">
        <f aca="false">IF(ISNUMBER(H15),G15,0)</f>
        <v>3</v>
      </c>
      <c r="N15" s="31" t="n">
        <f aca="false">IF(AND(ISNUMBER(H15),ISNUMBER(K15)),1-H15/K15,"")</f>
        <v>0.0805102040816327</v>
      </c>
      <c r="O15" s="24" t="n">
        <f aca="false">IF(J15="UNKNOWN","",INDEX(Cost_Rollup!$F$5:$F$16,MATCH(I15,Cost_Rollup!$A$5:$A$16,0)))</f>
        <v>635.433</v>
      </c>
      <c r="P15" s="24" t="n">
        <f aca="false">IF(AND(ISNUMBER(L15),ISNUMBER(O15)),G15*O15,"")</f>
        <v>1906.299</v>
      </c>
      <c r="Q15" s="15" t="str">
        <f aca="false">IF(H15="","Missing price; ","")&amp;IF(J15="UNKNOWN","Unknown item; ","")&amp;IF(AND(ISNUMBER(N15),N15&gt;Discount_Threshold),"Discount above limit; ","")</f>
        <v/>
      </c>
      <c r="R15" s="15" t="str">
        <f aca="false">IF(Q15="","OK","CHECK")</f>
        <v>OK</v>
      </c>
    </row>
    <row r="16" customFormat="false" ht="15" hidden="false" customHeight="false" outlineLevel="0" collapsed="false">
      <c r="A16" s="12" t="s">
        <v>284</v>
      </c>
      <c r="B16" s="30" t="n">
        <v>45681</v>
      </c>
      <c r="C16" s="12" t="s">
        <v>285</v>
      </c>
      <c r="D16" s="12" t="s">
        <v>266</v>
      </c>
      <c r="E16" s="12" t="s">
        <v>70</v>
      </c>
      <c r="F16" s="12" t="s">
        <v>125</v>
      </c>
      <c r="G16" s="23" t="n">
        <v>26</v>
      </c>
      <c r="H16" s="22" t="n">
        <v>1419.04</v>
      </c>
      <c r="I16" s="15" t="str">
        <f aca="false">UPPER(TRIM(F16))</f>
        <v>PC-BAR-F38</v>
      </c>
      <c r="J16" s="15" t="str">
        <f aca="false">IFERROR(INDEX(Items!$C$2:$C$500,MATCH(I16,Items!$H$2:$H$500,0)),"UNKNOWN")</f>
        <v>Barrier</v>
      </c>
      <c r="K16" s="24" t="n">
        <f aca="false">IF(J16="UNKNOWN","",INDEX(Items!$F$2:$F$500,MATCH(I16,Items!$H$2:$H$500,0)))</f>
        <v>1450</v>
      </c>
      <c r="L16" s="24" t="n">
        <f aca="false">IF(ISNUMBER(H16),G16*H16,"")</f>
        <v>36895.04</v>
      </c>
      <c r="M16" s="28" t="n">
        <f aca="false">IF(ISNUMBER(H16),G16,0)</f>
        <v>26</v>
      </c>
      <c r="N16" s="31" t="n">
        <f aca="false">IF(AND(ISNUMBER(H16),ISNUMBER(K16)),1-H16/K16,"")</f>
        <v>0.0213517241379311</v>
      </c>
      <c r="O16" s="24" t="n">
        <f aca="false">IF(J16="UNKNOWN","",INDEX(Cost_Rollup!$F$5:$F$16,MATCH(I16,Cost_Rollup!$A$5:$A$16,0)))</f>
        <v>978.66328</v>
      </c>
      <c r="P16" s="24" t="n">
        <f aca="false">IF(AND(ISNUMBER(L16),ISNUMBER(O16)),G16*O16,"")</f>
        <v>25445.24528</v>
      </c>
      <c r="Q16" s="15" t="str">
        <f aca="false">IF(H16="","Missing price; ","")&amp;IF(J16="UNKNOWN","Unknown item; ","")&amp;IF(AND(ISNUMBER(N16),N16&gt;Discount_Threshold),"Discount above limit; ","")</f>
        <v/>
      </c>
      <c r="R16" s="15" t="str">
        <f aca="false">IF(Q16="","OK","CHECK")</f>
        <v>OK</v>
      </c>
    </row>
    <row r="17" customFormat="false" ht="15" hidden="false" customHeight="false" outlineLevel="0" collapsed="false">
      <c r="A17" s="12" t="s">
        <v>286</v>
      </c>
      <c r="B17" s="30" t="n">
        <v>45682</v>
      </c>
      <c r="C17" s="12" t="s">
        <v>260</v>
      </c>
      <c r="D17" s="12" t="s">
        <v>258</v>
      </c>
      <c r="E17" s="12" t="s">
        <v>70</v>
      </c>
      <c r="F17" s="12" t="s">
        <v>129</v>
      </c>
      <c r="G17" s="23" t="n">
        <v>7</v>
      </c>
      <c r="H17" s="22" t="n">
        <v>2138.11</v>
      </c>
      <c r="I17" s="15" t="str">
        <f aca="false">UPPER(TRIM(F17))</f>
        <v>PC-BAR-SS60</v>
      </c>
      <c r="J17" s="15" t="str">
        <f aca="false">IFERROR(INDEX(Items!$C$2:$C$500,MATCH(I17,Items!$H$2:$H$500,0)),"UNKNOWN")</f>
        <v>Barrier</v>
      </c>
      <c r="K17" s="24" t="n">
        <f aca="false">IF(J17="UNKNOWN","",INDEX(Items!$F$2:$F$500,MATCH(I17,Items!$H$2:$H$500,0)))</f>
        <v>2350</v>
      </c>
      <c r="L17" s="24" t="n">
        <f aca="false">IF(ISNUMBER(H17),G17*H17,"")</f>
        <v>14966.77</v>
      </c>
      <c r="M17" s="28" t="n">
        <f aca="false">IF(ISNUMBER(H17),G17,0)</f>
        <v>7</v>
      </c>
      <c r="N17" s="31" t="n">
        <f aca="false">IF(AND(ISNUMBER(H17),ISNUMBER(K17)),1-H17/K17,"")</f>
        <v>0.0901659574468084</v>
      </c>
      <c r="O17" s="24" t="n">
        <f aca="false">IF(J17="UNKNOWN","",INDEX(Cost_Rollup!$F$5:$F$16,MATCH(I17,Cost_Rollup!$A$5:$A$16,0)))</f>
        <v>1583.5454</v>
      </c>
      <c r="P17" s="24" t="n">
        <f aca="false">IF(AND(ISNUMBER(L17),ISNUMBER(O17)),G17*O17,"")</f>
        <v>11084.8178</v>
      </c>
      <c r="Q17" s="15" t="str">
        <f aca="false">IF(H17="","Missing price; ","")&amp;IF(J17="UNKNOWN","Unknown item; ","")&amp;IF(AND(ISNUMBER(N17),N17&gt;Discount_Threshold),"Discount above limit; ","")</f>
        <v/>
      </c>
      <c r="R17" s="15" t="str">
        <f aca="false">IF(Q17="","OK","CHECK")</f>
        <v>OK</v>
      </c>
    </row>
    <row r="18" customFormat="false" ht="15" hidden="false" customHeight="false" outlineLevel="0" collapsed="false">
      <c r="A18" s="12" t="s">
        <v>287</v>
      </c>
      <c r="B18" s="30" t="n">
        <v>45683</v>
      </c>
      <c r="C18" s="12" t="s">
        <v>279</v>
      </c>
      <c r="D18" s="12" t="s">
        <v>280</v>
      </c>
      <c r="E18" s="12" t="s">
        <v>147</v>
      </c>
      <c r="F18" s="12" t="s">
        <v>103</v>
      </c>
      <c r="G18" s="23" t="n">
        <v>5</v>
      </c>
      <c r="H18" s="22" t="n">
        <v>584.48</v>
      </c>
      <c r="I18" s="15" t="str">
        <f aca="false">UPPER(TRIM(F18))</f>
        <v>PC-RCP-0600</v>
      </c>
      <c r="J18" s="15" t="str">
        <f aca="false">IFERROR(INDEX(Items!$C$2:$C$500,MATCH(I18,Items!$H$2:$H$500,0)),"UNKNOWN")</f>
        <v>Pipe</v>
      </c>
      <c r="K18" s="24" t="n">
        <f aca="false">IF(J18="UNKNOWN","",INDEX(Items!$F$2:$F$500,MATCH(I18,Items!$H$2:$H$500,0)))</f>
        <v>640</v>
      </c>
      <c r="L18" s="24" t="n">
        <f aca="false">IF(ISNUMBER(H18),G18*H18,"")</f>
        <v>2922.4</v>
      </c>
      <c r="M18" s="28" t="n">
        <f aca="false">IF(ISNUMBER(H18),G18,0)</f>
        <v>5</v>
      </c>
      <c r="N18" s="31" t="n">
        <f aca="false">IF(AND(ISNUMBER(H18),ISNUMBER(K18)),1-H18/K18,"")</f>
        <v>0.08675</v>
      </c>
      <c r="O18" s="24" t="n">
        <f aca="false">IF(J18="UNKNOWN","",INDEX(Cost_Rollup!$F$5:$F$16,MATCH(I18,Cost_Rollup!$A$5:$A$16,0)))</f>
        <v>429.94832</v>
      </c>
      <c r="P18" s="24" t="n">
        <f aca="false">IF(AND(ISNUMBER(L18),ISNUMBER(O18)),G18*O18,"")</f>
        <v>2149.7416</v>
      </c>
      <c r="Q18" s="15" t="str">
        <f aca="false">IF(H18="","Missing price; ","")&amp;IF(J18="UNKNOWN","Unknown item; ","")&amp;IF(AND(ISNUMBER(N18),N18&gt;Discount_Threshold),"Discount above limit; ","")</f>
        <v/>
      </c>
      <c r="R18" s="15" t="str">
        <f aca="false">IF(Q18="","OK","CHECK")</f>
        <v>OK</v>
      </c>
    </row>
    <row r="19" customFormat="false" ht="15" hidden="false" customHeight="false" outlineLevel="0" collapsed="false">
      <c r="A19" s="12" t="s">
        <v>288</v>
      </c>
      <c r="B19" s="30" t="n">
        <v>45685</v>
      </c>
      <c r="C19" s="12" t="s">
        <v>276</v>
      </c>
      <c r="D19" s="12" t="s">
        <v>277</v>
      </c>
      <c r="E19" s="12" t="s">
        <v>70</v>
      </c>
      <c r="F19" s="12" t="s">
        <v>115</v>
      </c>
      <c r="G19" s="23" t="n">
        <v>6</v>
      </c>
      <c r="H19" s="22" t="n">
        <v>903.23</v>
      </c>
      <c r="I19" s="15" t="str">
        <f aca="false">UPPER(TRIM(F19))</f>
        <v>PC-MH-1050B</v>
      </c>
      <c r="J19" s="15" t="str">
        <f aca="false">IFERROR(INDEX(Items!$C$2:$C$500,MATCH(I19,Items!$H$2:$H$500,0)),"UNKNOWN")</f>
        <v>Manhole</v>
      </c>
      <c r="K19" s="24" t="n">
        <f aca="false">IF(J19="UNKNOWN","",INDEX(Items!$F$2:$F$500,MATCH(I19,Items!$H$2:$H$500,0)))</f>
        <v>980</v>
      </c>
      <c r="L19" s="24" t="n">
        <f aca="false">IF(ISNUMBER(H19),G19*H19,"")</f>
        <v>5419.38</v>
      </c>
      <c r="M19" s="28" t="n">
        <f aca="false">IF(ISNUMBER(H19),G19,0)</f>
        <v>6</v>
      </c>
      <c r="N19" s="31" t="n">
        <f aca="false">IF(AND(ISNUMBER(H19),ISNUMBER(K19)),1-H19/K19,"")</f>
        <v>0.0783367346938776</v>
      </c>
      <c r="O19" s="24" t="n">
        <f aca="false">IF(J19="UNKNOWN","",INDEX(Cost_Rollup!$F$5:$F$16,MATCH(I19,Cost_Rollup!$A$5:$A$16,0)))</f>
        <v>635.433</v>
      </c>
      <c r="P19" s="24" t="n">
        <f aca="false">IF(AND(ISNUMBER(L19),ISNUMBER(O19)),G19*O19,"")</f>
        <v>3812.598</v>
      </c>
      <c r="Q19" s="15" t="str">
        <f aca="false">IF(H19="","Missing price; ","")&amp;IF(J19="UNKNOWN","Unknown item; ","")&amp;IF(AND(ISNUMBER(N19),N19&gt;Discount_Threshold),"Discount above limit; ","")</f>
        <v/>
      </c>
      <c r="R19" s="15" t="str">
        <f aca="false">IF(Q19="","OK","CHECK")</f>
        <v>OK</v>
      </c>
    </row>
    <row r="20" customFormat="false" ht="15" hidden="false" customHeight="false" outlineLevel="0" collapsed="false">
      <c r="A20" s="12" t="s">
        <v>289</v>
      </c>
      <c r="B20" s="30" t="n">
        <v>45686</v>
      </c>
      <c r="C20" s="12" t="s">
        <v>260</v>
      </c>
      <c r="D20" s="12" t="s">
        <v>258</v>
      </c>
      <c r="E20" s="12" t="s">
        <v>70</v>
      </c>
      <c r="F20" s="12" t="s">
        <v>129</v>
      </c>
      <c r="G20" s="23" t="n">
        <v>38</v>
      </c>
      <c r="H20" s="22" t="n">
        <v>2154.37</v>
      </c>
      <c r="I20" s="15" t="str">
        <f aca="false">UPPER(TRIM(F20))</f>
        <v>PC-BAR-SS60</v>
      </c>
      <c r="J20" s="15" t="str">
        <f aca="false">IFERROR(INDEX(Items!$C$2:$C$500,MATCH(I20,Items!$H$2:$H$500,0)),"UNKNOWN")</f>
        <v>Barrier</v>
      </c>
      <c r="K20" s="24" t="n">
        <f aca="false">IF(J20="UNKNOWN","",INDEX(Items!$F$2:$F$500,MATCH(I20,Items!$H$2:$H$500,0)))</f>
        <v>2350</v>
      </c>
      <c r="L20" s="24" t="n">
        <f aca="false">IF(ISNUMBER(H20),G20*H20,"")</f>
        <v>81866.06</v>
      </c>
      <c r="M20" s="28" t="n">
        <f aca="false">IF(ISNUMBER(H20),G20,0)</f>
        <v>38</v>
      </c>
      <c r="N20" s="31" t="n">
        <f aca="false">IF(AND(ISNUMBER(H20),ISNUMBER(K20)),1-H20/K20,"")</f>
        <v>0.0832468085106384</v>
      </c>
      <c r="O20" s="24" t="n">
        <f aca="false">IF(J20="UNKNOWN","",INDEX(Cost_Rollup!$F$5:$F$16,MATCH(I20,Cost_Rollup!$A$5:$A$16,0)))</f>
        <v>1583.5454</v>
      </c>
      <c r="P20" s="24" t="n">
        <f aca="false">IF(AND(ISNUMBER(L20),ISNUMBER(O20)),G20*O20,"")</f>
        <v>60174.7252</v>
      </c>
      <c r="Q20" s="15" t="str">
        <f aca="false">IF(H20="","Missing price; ","")&amp;IF(J20="UNKNOWN","Unknown item; ","")&amp;IF(AND(ISNUMBER(N20),N20&gt;Discount_Threshold),"Discount above limit; ","")</f>
        <v/>
      </c>
      <c r="R20" s="15" t="str">
        <f aca="false">IF(Q20="","OK","CHECK")</f>
        <v>OK</v>
      </c>
    </row>
    <row r="21" customFormat="false" ht="15" hidden="false" customHeight="false" outlineLevel="0" collapsed="false">
      <c r="A21" s="12" t="s">
        <v>290</v>
      </c>
      <c r="B21" s="30" t="n">
        <v>45687</v>
      </c>
      <c r="C21" s="12" t="s">
        <v>279</v>
      </c>
      <c r="D21" s="12" t="s">
        <v>280</v>
      </c>
      <c r="E21" s="12" t="s">
        <v>147</v>
      </c>
      <c r="F21" s="12" t="s">
        <v>131</v>
      </c>
      <c r="G21" s="23" t="n">
        <v>136</v>
      </c>
      <c r="H21" s="22" t="n">
        <v>114.19</v>
      </c>
      <c r="I21" s="15" t="str">
        <f aca="false">UPPER(TRIM(F21))</f>
        <v>PC-HC-200</v>
      </c>
      <c r="J21" s="15" t="str">
        <f aca="false">IFERROR(INDEX(Items!$C$2:$C$500,MATCH(I21,Items!$H$2:$H$500,0)),"UNKNOWN")</f>
        <v>Slab</v>
      </c>
      <c r="K21" s="24" t="n">
        <f aca="false">IF(J21="UNKNOWN","",INDEX(Items!$F$2:$F$500,MATCH(I21,Items!$H$2:$H$500,0)))</f>
        <v>118</v>
      </c>
      <c r="L21" s="24" t="n">
        <f aca="false">IF(ISNUMBER(H21),G21*H21,"")</f>
        <v>15529.84</v>
      </c>
      <c r="M21" s="28" t="n">
        <f aca="false">IF(ISNUMBER(H21),G21,0)</f>
        <v>136</v>
      </c>
      <c r="N21" s="31" t="n">
        <f aca="false">IF(AND(ISNUMBER(H21),ISNUMBER(K21)),1-H21/K21,"")</f>
        <v>0.0322881355932204</v>
      </c>
      <c r="O21" s="24" t="n">
        <f aca="false">IF(J21="UNKNOWN","",INDEX(Cost_Rollup!$F$5:$F$16,MATCH(I21,Cost_Rollup!$A$5:$A$16,0)))</f>
        <v>78.89382</v>
      </c>
      <c r="P21" s="24" t="n">
        <f aca="false">IF(AND(ISNUMBER(L21),ISNUMBER(O21)),G21*O21,"")</f>
        <v>10729.55952</v>
      </c>
      <c r="Q21" s="15" t="str">
        <f aca="false">IF(H21="","Missing price; ","")&amp;IF(J21="UNKNOWN","Unknown item; ","")&amp;IF(AND(ISNUMBER(N21),N21&gt;Discount_Threshold),"Discount above limit; ","")</f>
        <v/>
      </c>
      <c r="R21" s="15" t="str">
        <f aca="false">IF(Q21="","OK","CHECK")</f>
        <v>OK</v>
      </c>
    </row>
    <row r="22" customFormat="false" ht="15" hidden="false" customHeight="false" outlineLevel="0" collapsed="false">
      <c r="A22" s="12" t="s">
        <v>291</v>
      </c>
      <c r="B22" s="30" t="n">
        <v>45690</v>
      </c>
      <c r="C22" s="12" t="s">
        <v>292</v>
      </c>
      <c r="D22" s="12" t="s">
        <v>277</v>
      </c>
      <c r="E22" s="12" t="s">
        <v>70</v>
      </c>
      <c r="F22" s="12" t="s">
        <v>131</v>
      </c>
      <c r="G22" s="23" t="n">
        <v>118</v>
      </c>
      <c r="H22" s="22" t="n">
        <v>113.04</v>
      </c>
      <c r="I22" s="15" t="str">
        <f aca="false">UPPER(TRIM(F22))</f>
        <v>PC-HC-200</v>
      </c>
      <c r="J22" s="15" t="str">
        <f aca="false">IFERROR(INDEX(Items!$C$2:$C$500,MATCH(I22,Items!$H$2:$H$500,0)),"UNKNOWN")</f>
        <v>Slab</v>
      </c>
      <c r="K22" s="24" t="n">
        <f aca="false">IF(J22="UNKNOWN","",INDEX(Items!$F$2:$F$500,MATCH(I22,Items!$H$2:$H$500,0)))</f>
        <v>118</v>
      </c>
      <c r="L22" s="24" t="n">
        <f aca="false">IF(ISNUMBER(H22),G22*H22,"")</f>
        <v>13338.72</v>
      </c>
      <c r="M22" s="28" t="n">
        <f aca="false">IF(ISNUMBER(H22),G22,0)</f>
        <v>118</v>
      </c>
      <c r="N22" s="31" t="n">
        <f aca="false">IF(AND(ISNUMBER(H22),ISNUMBER(K22)),1-H22/K22,"")</f>
        <v>0.0420338983050846</v>
      </c>
      <c r="O22" s="24" t="n">
        <f aca="false">IF(J22="UNKNOWN","",INDEX(Cost_Rollup!$F$5:$F$16,MATCH(I22,Cost_Rollup!$A$5:$A$16,0)))</f>
        <v>78.89382</v>
      </c>
      <c r="P22" s="24" t="n">
        <f aca="false">IF(AND(ISNUMBER(L22),ISNUMBER(O22)),G22*O22,"")</f>
        <v>9309.47076</v>
      </c>
      <c r="Q22" s="15" t="str">
        <f aca="false">IF(H22="","Missing price; ","")&amp;IF(J22="UNKNOWN","Unknown item; ","")&amp;IF(AND(ISNUMBER(N22),N22&gt;Discount_Threshold),"Discount above limit; ","")</f>
        <v/>
      </c>
      <c r="R22" s="15" t="str">
        <f aca="false">IF(Q22="","OK","CHECK")</f>
        <v>OK</v>
      </c>
    </row>
    <row r="23" customFormat="false" ht="15" hidden="false" customHeight="false" outlineLevel="0" collapsed="false">
      <c r="A23" s="12" t="s">
        <v>293</v>
      </c>
      <c r="B23" s="30" t="n">
        <v>45696</v>
      </c>
      <c r="C23" s="12" t="s">
        <v>276</v>
      </c>
      <c r="D23" s="12" t="s">
        <v>277</v>
      </c>
      <c r="E23" s="12" t="s">
        <v>70</v>
      </c>
      <c r="F23" s="12" t="s">
        <v>131</v>
      </c>
      <c r="G23" s="23" t="n">
        <v>312</v>
      </c>
      <c r="H23" s="22" t="n">
        <v>118.85</v>
      </c>
      <c r="I23" s="15" t="str">
        <f aca="false">UPPER(TRIM(F23))</f>
        <v>PC-HC-200</v>
      </c>
      <c r="J23" s="15" t="str">
        <f aca="false">IFERROR(INDEX(Items!$C$2:$C$500,MATCH(I23,Items!$H$2:$H$500,0)),"UNKNOWN")</f>
        <v>Slab</v>
      </c>
      <c r="K23" s="24" t="n">
        <f aca="false">IF(J23="UNKNOWN","",INDEX(Items!$F$2:$F$500,MATCH(I23,Items!$H$2:$H$500,0)))</f>
        <v>118</v>
      </c>
      <c r="L23" s="24" t="n">
        <f aca="false">IF(ISNUMBER(H23),G23*H23,"")</f>
        <v>37081.2</v>
      </c>
      <c r="M23" s="28" t="n">
        <f aca="false">IF(ISNUMBER(H23),G23,0)</f>
        <v>312</v>
      </c>
      <c r="N23" s="31" t="n">
        <f aca="false">IF(AND(ISNUMBER(H23),ISNUMBER(K23)),1-H23/K23,"")</f>
        <v>-0.00720338983050839</v>
      </c>
      <c r="O23" s="24" t="n">
        <f aca="false">IF(J23="UNKNOWN","",INDEX(Cost_Rollup!$F$5:$F$16,MATCH(I23,Cost_Rollup!$A$5:$A$16,0)))</f>
        <v>78.89382</v>
      </c>
      <c r="P23" s="24" t="n">
        <f aca="false">IF(AND(ISNUMBER(L23),ISNUMBER(O23)),G23*O23,"")</f>
        <v>24614.87184</v>
      </c>
      <c r="Q23" s="15" t="str">
        <f aca="false">IF(H23="","Missing price; ","")&amp;IF(J23="UNKNOWN","Unknown item; ","")&amp;IF(AND(ISNUMBER(N23),N23&gt;Discount_Threshold),"Discount above limit; ","")</f>
        <v/>
      </c>
      <c r="R23" s="15" t="str">
        <f aca="false">IF(Q23="","OK","CHECK")</f>
        <v>OK</v>
      </c>
    </row>
    <row r="24" customFormat="false" ht="15" hidden="false" customHeight="false" outlineLevel="0" collapsed="false">
      <c r="A24" s="12" t="s">
        <v>294</v>
      </c>
      <c r="B24" s="30" t="n">
        <v>45701</v>
      </c>
      <c r="C24" s="12" t="s">
        <v>292</v>
      </c>
      <c r="D24" s="12" t="s">
        <v>277</v>
      </c>
      <c r="E24" s="12" t="s">
        <v>70</v>
      </c>
      <c r="F24" s="12" t="s">
        <v>129</v>
      </c>
      <c r="G24" s="23" t="n">
        <v>38</v>
      </c>
      <c r="H24" s="22" t="n">
        <v>2371.28</v>
      </c>
      <c r="I24" s="15" t="str">
        <f aca="false">UPPER(TRIM(F24))</f>
        <v>PC-BAR-SS60</v>
      </c>
      <c r="J24" s="15" t="str">
        <f aca="false">IFERROR(INDEX(Items!$C$2:$C$500,MATCH(I24,Items!$H$2:$H$500,0)),"UNKNOWN")</f>
        <v>Barrier</v>
      </c>
      <c r="K24" s="24" t="n">
        <f aca="false">IF(J24="UNKNOWN","",INDEX(Items!$F$2:$F$500,MATCH(I24,Items!$H$2:$H$500,0)))</f>
        <v>2350</v>
      </c>
      <c r="L24" s="24" t="n">
        <f aca="false">IF(ISNUMBER(H24),G24*H24,"")</f>
        <v>90108.64</v>
      </c>
      <c r="M24" s="28" t="n">
        <f aca="false">IF(ISNUMBER(H24),G24,0)</f>
        <v>38</v>
      </c>
      <c r="N24" s="31" t="n">
        <f aca="false">IF(AND(ISNUMBER(H24),ISNUMBER(K24)),1-H24/K24,"")</f>
        <v>-0.0090553191489362</v>
      </c>
      <c r="O24" s="24" t="n">
        <f aca="false">IF(J24="UNKNOWN","",INDEX(Cost_Rollup!$F$5:$F$16,MATCH(I24,Cost_Rollup!$A$5:$A$16,0)))</f>
        <v>1583.5454</v>
      </c>
      <c r="P24" s="24" t="n">
        <f aca="false">IF(AND(ISNUMBER(L24),ISNUMBER(O24)),G24*O24,"")</f>
        <v>60174.7252</v>
      </c>
      <c r="Q24" s="15" t="str">
        <f aca="false">IF(H24="","Missing price; ","")&amp;IF(J24="UNKNOWN","Unknown item; ","")&amp;IF(AND(ISNUMBER(N24),N24&gt;Discount_Threshold),"Discount above limit; ","")</f>
        <v/>
      </c>
      <c r="R24" s="15" t="str">
        <f aca="false">IF(Q24="","OK","CHECK")</f>
        <v>OK</v>
      </c>
    </row>
    <row r="25" customFormat="false" ht="15" hidden="false" customHeight="false" outlineLevel="0" collapsed="false">
      <c r="A25" s="12" t="s">
        <v>295</v>
      </c>
      <c r="B25" s="30" t="n">
        <v>45705</v>
      </c>
      <c r="C25" s="12" t="s">
        <v>285</v>
      </c>
      <c r="D25" s="12" t="s">
        <v>266</v>
      </c>
      <c r="E25" s="12" t="s">
        <v>70</v>
      </c>
      <c r="F25" s="12" t="s">
        <v>112</v>
      </c>
      <c r="G25" s="23" t="n">
        <v>5</v>
      </c>
      <c r="H25" s="22" t="n">
        <v>3851.04</v>
      </c>
      <c r="I25" s="15" t="str">
        <f aca="false">UPPER(TRIM(F25))</f>
        <v>PC-BOX-1812</v>
      </c>
      <c r="J25" s="15" t="str">
        <f aca="false">IFERROR(INDEX(Items!$C$2:$C$500,MATCH(I25,Items!$H$2:$H$500,0)),"UNKNOWN")</f>
        <v>Box Culvert</v>
      </c>
      <c r="K25" s="24" t="n">
        <f aca="false">IF(J25="UNKNOWN","",INDEX(Items!$F$2:$F$500,MATCH(I25,Items!$H$2:$H$500,0)))</f>
        <v>4200</v>
      </c>
      <c r="L25" s="24" t="n">
        <f aca="false">IF(ISNUMBER(H25),G25*H25,"")</f>
        <v>19255.2</v>
      </c>
      <c r="M25" s="28" t="n">
        <f aca="false">IF(ISNUMBER(H25),G25,0)</f>
        <v>5</v>
      </c>
      <c r="N25" s="31" t="n">
        <f aca="false">IF(AND(ISNUMBER(H25),ISNUMBER(K25)),1-H25/K25,"")</f>
        <v>0.0830857142857143</v>
      </c>
      <c r="O25" s="24" t="n">
        <f aca="false">IF(J25="UNKNOWN","",INDEX(Cost_Rollup!$F$5:$F$16,MATCH(I25,Cost_Rollup!$A$5:$A$16,0)))</f>
        <v>2795.3624</v>
      </c>
      <c r="P25" s="24" t="n">
        <f aca="false">IF(AND(ISNUMBER(L25),ISNUMBER(O25)),G25*O25,"")</f>
        <v>13976.812</v>
      </c>
      <c r="Q25" s="15" t="str">
        <f aca="false">IF(H25="","Missing price; ","")&amp;IF(J25="UNKNOWN","Unknown item; ","")&amp;IF(AND(ISNUMBER(N25),N25&gt;Discount_Threshold),"Discount above limit; ","")</f>
        <v/>
      </c>
      <c r="R25" s="15" t="str">
        <f aca="false">IF(Q25="","OK","CHECK")</f>
        <v>OK</v>
      </c>
    </row>
    <row r="26" customFormat="false" ht="15" hidden="false" customHeight="false" outlineLevel="0" collapsed="false">
      <c r="A26" s="12" t="s">
        <v>296</v>
      </c>
      <c r="B26" s="30" t="n">
        <v>45706</v>
      </c>
      <c r="C26" s="12" t="s">
        <v>285</v>
      </c>
      <c r="D26" s="12" t="s">
        <v>266</v>
      </c>
      <c r="E26" s="12" t="s">
        <v>70</v>
      </c>
      <c r="F26" s="12" t="s">
        <v>120</v>
      </c>
      <c r="G26" s="23" t="n">
        <v>3</v>
      </c>
      <c r="H26" s="22" t="n">
        <v>475.87</v>
      </c>
      <c r="I26" s="15" t="str">
        <f aca="false">UPPER(TRIM(F26))</f>
        <v>PC-MH-1200R</v>
      </c>
      <c r="J26" s="15" t="str">
        <f aca="false">IFERROR(INDEX(Items!$C$2:$C$500,MATCH(I26,Items!$H$2:$H$500,0)),"UNKNOWN")</f>
        <v>Manhole</v>
      </c>
      <c r="K26" s="24" t="n">
        <f aca="false">IF(J26="UNKNOWN","",INDEX(Items!$F$2:$F$500,MATCH(I26,Items!$H$2:$H$500,0)))</f>
        <v>520</v>
      </c>
      <c r="L26" s="24" t="n">
        <f aca="false">IF(ISNUMBER(H26),G26*H26,"")</f>
        <v>1427.61</v>
      </c>
      <c r="M26" s="28" t="n">
        <f aca="false">IF(ISNUMBER(H26),G26,0)</f>
        <v>3</v>
      </c>
      <c r="N26" s="31" t="n">
        <f aca="false">IF(AND(ISNUMBER(H26),ISNUMBER(K26)),1-H26/K26,"")</f>
        <v>0.0848653846153846</v>
      </c>
      <c r="O26" s="24" t="n">
        <f aca="false">IF(J26="UNKNOWN","",INDEX(Cost_Rollup!$F$5:$F$16,MATCH(I26,Cost_Rollup!$A$5:$A$16,0)))</f>
        <v>381.98428</v>
      </c>
      <c r="P26" s="24" t="n">
        <f aca="false">IF(AND(ISNUMBER(L26),ISNUMBER(O26)),G26*O26,"")</f>
        <v>1145.95284</v>
      </c>
      <c r="Q26" s="15" t="str">
        <f aca="false">IF(H26="","Missing price; ","")&amp;IF(J26="UNKNOWN","Unknown item; ","")&amp;IF(AND(ISNUMBER(N26),N26&gt;Discount_Threshold),"Discount above limit; ","")</f>
        <v/>
      </c>
      <c r="R26" s="15" t="str">
        <f aca="false">IF(Q26="","OK","CHECK")</f>
        <v>OK</v>
      </c>
    </row>
    <row r="27" customFormat="false" ht="15" hidden="false" customHeight="false" outlineLevel="0" collapsed="false">
      <c r="A27" s="12" t="s">
        <v>297</v>
      </c>
      <c r="B27" s="30" t="n">
        <v>45708</v>
      </c>
      <c r="C27" s="12" t="s">
        <v>279</v>
      </c>
      <c r="D27" s="12" t="s">
        <v>280</v>
      </c>
      <c r="E27" s="12" t="s">
        <v>147</v>
      </c>
      <c r="F27" s="12" t="s">
        <v>131</v>
      </c>
      <c r="G27" s="23" t="n">
        <v>254</v>
      </c>
      <c r="H27" s="22" t="n">
        <v>117.28</v>
      </c>
      <c r="I27" s="15" t="str">
        <f aca="false">UPPER(TRIM(F27))</f>
        <v>PC-HC-200</v>
      </c>
      <c r="J27" s="15" t="str">
        <f aca="false">IFERROR(INDEX(Items!$C$2:$C$500,MATCH(I27,Items!$H$2:$H$500,0)),"UNKNOWN")</f>
        <v>Slab</v>
      </c>
      <c r="K27" s="24" t="n">
        <f aca="false">IF(J27="UNKNOWN","",INDEX(Items!$F$2:$F$500,MATCH(I27,Items!$H$2:$H$500,0)))</f>
        <v>118</v>
      </c>
      <c r="L27" s="24" t="n">
        <f aca="false">IF(ISNUMBER(H27),G27*H27,"")</f>
        <v>29789.12</v>
      </c>
      <c r="M27" s="28" t="n">
        <f aca="false">IF(ISNUMBER(H27),G27,0)</f>
        <v>254</v>
      </c>
      <c r="N27" s="31" t="n">
        <f aca="false">IF(AND(ISNUMBER(H27),ISNUMBER(K27)),1-H27/K27,"")</f>
        <v>0.00610169491525425</v>
      </c>
      <c r="O27" s="24" t="n">
        <f aca="false">IF(J27="UNKNOWN","",INDEX(Cost_Rollup!$F$5:$F$16,MATCH(I27,Cost_Rollup!$A$5:$A$16,0)))</f>
        <v>78.89382</v>
      </c>
      <c r="P27" s="24" t="n">
        <f aca="false">IF(AND(ISNUMBER(L27),ISNUMBER(O27)),G27*O27,"")</f>
        <v>20039.03028</v>
      </c>
      <c r="Q27" s="15" t="str">
        <f aca="false">IF(H27="","Missing price; ","")&amp;IF(J27="UNKNOWN","Unknown item; ","")&amp;IF(AND(ISNUMBER(N27),N27&gt;Discount_Threshold),"Discount above limit; ","")</f>
        <v/>
      </c>
      <c r="R27" s="15" t="str">
        <f aca="false">IF(Q27="","OK","CHECK")</f>
        <v>OK</v>
      </c>
    </row>
    <row r="28" customFormat="false" ht="15" hidden="false" customHeight="false" outlineLevel="0" collapsed="false">
      <c r="A28" s="12" t="s">
        <v>298</v>
      </c>
      <c r="B28" s="30" t="n">
        <v>45710</v>
      </c>
      <c r="C28" s="12" t="s">
        <v>279</v>
      </c>
      <c r="D28" s="12" t="s">
        <v>280</v>
      </c>
      <c r="E28" s="12" t="s">
        <v>147</v>
      </c>
      <c r="F28" s="12" t="s">
        <v>131</v>
      </c>
      <c r="G28" s="23" t="n">
        <v>209</v>
      </c>
      <c r="H28" s="22" t="n">
        <v>112.94</v>
      </c>
      <c r="I28" s="15" t="str">
        <f aca="false">UPPER(TRIM(F28))</f>
        <v>PC-HC-200</v>
      </c>
      <c r="J28" s="15" t="str">
        <f aca="false">IFERROR(INDEX(Items!$C$2:$C$500,MATCH(I28,Items!$H$2:$H$500,0)),"UNKNOWN")</f>
        <v>Slab</v>
      </c>
      <c r="K28" s="24" t="n">
        <f aca="false">IF(J28="UNKNOWN","",INDEX(Items!$F$2:$F$500,MATCH(I28,Items!$H$2:$H$500,0)))</f>
        <v>118</v>
      </c>
      <c r="L28" s="24" t="n">
        <f aca="false">IF(ISNUMBER(H28),G28*H28,"")</f>
        <v>23604.46</v>
      </c>
      <c r="M28" s="28" t="n">
        <f aca="false">IF(ISNUMBER(H28),G28,0)</f>
        <v>209</v>
      </c>
      <c r="N28" s="31" t="n">
        <f aca="false">IF(AND(ISNUMBER(H28),ISNUMBER(K28)),1-H28/K28,"")</f>
        <v>0.0428813559322034</v>
      </c>
      <c r="O28" s="24" t="n">
        <f aca="false">IF(J28="UNKNOWN","",INDEX(Cost_Rollup!$F$5:$F$16,MATCH(I28,Cost_Rollup!$A$5:$A$16,0)))</f>
        <v>78.89382</v>
      </c>
      <c r="P28" s="24" t="n">
        <f aca="false">IF(AND(ISNUMBER(L28),ISNUMBER(O28)),G28*O28,"")</f>
        <v>16488.80838</v>
      </c>
      <c r="Q28" s="15" t="str">
        <f aca="false">IF(H28="","Missing price; ","")&amp;IF(J28="UNKNOWN","Unknown item; ","")&amp;IF(AND(ISNUMBER(N28),N28&gt;Discount_Threshold),"Discount above limit; ","")</f>
        <v/>
      </c>
      <c r="R28" s="15" t="str">
        <f aca="false">IF(Q28="","OK","CHECK")</f>
        <v>OK</v>
      </c>
    </row>
    <row r="29" customFormat="false" ht="15" hidden="false" customHeight="false" outlineLevel="0" collapsed="false">
      <c r="A29" s="12" t="s">
        <v>299</v>
      </c>
      <c r="B29" s="30" t="n">
        <v>45710</v>
      </c>
      <c r="C29" s="12" t="s">
        <v>292</v>
      </c>
      <c r="D29" s="12" t="s">
        <v>277</v>
      </c>
      <c r="E29" s="12" t="s">
        <v>70</v>
      </c>
      <c r="F29" s="12" t="s">
        <v>125</v>
      </c>
      <c r="G29" s="23" t="n">
        <v>21</v>
      </c>
      <c r="H29" s="22" t="n">
        <v>1308.7</v>
      </c>
      <c r="I29" s="15" t="str">
        <f aca="false">UPPER(TRIM(F29))</f>
        <v>PC-BAR-F38</v>
      </c>
      <c r="J29" s="15" t="str">
        <f aca="false">IFERROR(INDEX(Items!$C$2:$C$500,MATCH(I29,Items!$H$2:$H$500,0)),"UNKNOWN")</f>
        <v>Barrier</v>
      </c>
      <c r="K29" s="24" t="n">
        <f aca="false">IF(J29="UNKNOWN","",INDEX(Items!$F$2:$F$500,MATCH(I29,Items!$H$2:$H$500,0)))</f>
        <v>1450</v>
      </c>
      <c r="L29" s="24" t="n">
        <f aca="false">IF(ISNUMBER(H29),G29*H29,"")</f>
        <v>27482.7</v>
      </c>
      <c r="M29" s="28" t="n">
        <f aca="false">IF(ISNUMBER(H29),G29,0)</f>
        <v>21</v>
      </c>
      <c r="N29" s="31" t="n">
        <f aca="false">IF(AND(ISNUMBER(H29),ISNUMBER(K29)),1-H29/K29,"")</f>
        <v>0.0974482758620689</v>
      </c>
      <c r="O29" s="24" t="n">
        <f aca="false">IF(J29="UNKNOWN","",INDEX(Cost_Rollup!$F$5:$F$16,MATCH(I29,Cost_Rollup!$A$5:$A$16,0)))</f>
        <v>978.66328</v>
      </c>
      <c r="P29" s="24" t="n">
        <f aca="false">IF(AND(ISNUMBER(L29),ISNUMBER(O29)),G29*O29,"")</f>
        <v>20551.92888</v>
      </c>
      <c r="Q29" s="15" t="str">
        <f aca="false">IF(H29="","Missing price; ","")&amp;IF(J29="UNKNOWN","Unknown item; ","")&amp;IF(AND(ISNUMBER(N29),N29&gt;Discount_Threshold),"Discount above limit; ","")</f>
        <v/>
      </c>
      <c r="R29" s="15" t="str">
        <f aca="false">IF(Q29="","OK","CHECK")</f>
        <v>OK</v>
      </c>
    </row>
    <row r="30" customFormat="false" ht="15" hidden="false" customHeight="false" outlineLevel="0" collapsed="false">
      <c r="A30" s="12" t="s">
        <v>300</v>
      </c>
      <c r="B30" s="30" t="n">
        <v>45712</v>
      </c>
      <c r="C30" s="12" t="s">
        <v>273</v>
      </c>
      <c r="D30" s="12" t="s">
        <v>274</v>
      </c>
      <c r="E30" s="12" t="s">
        <v>147</v>
      </c>
      <c r="F30" s="12" t="s">
        <v>110</v>
      </c>
      <c r="G30" s="23" t="n">
        <v>7</v>
      </c>
      <c r="H30" s="22" t="n">
        <v>1882.13</v>
      </c>
      <c r="I30" s="15" t="str">
        <f aca="false">UPPER(TRIM(F30))</f>
        <v>PC-RCP-1200</v>
      </c>
      <c r="J30" s="15" t="str">
        <f aca="false">IFERROR(INDEX(Items!$C$2:$C$500,MATCH(I30,Items!$H$2:$H$500,0)),"UNKNOWN")</f>
        <v>Pipe</v>
      </c>
      <c r="K30" s="24" t="n">
        <f aca="false">IF(J30="UNKNOWN","",INDEX(Items!$F$2:$F$500,MATCH(I30,Items!$H$2:$H$500,0)))</f>
        <v>1890</v>
      </c>
      <c r="L30" s="24" t="n">
        <f aca="false">IF(ISNUMBER(H30),G30*H30,"")</f>
        <v>13174.91</v>
      </c>
      <c r="M30" s="28" t="n">
        <f aca="false">IF(ISNUMBER(H30),G30,0)</f>
        <v>7</v>
      </c>
      <c r="N30" s="31" t="n">
        <f aca="false">IF(AND(ISNUMBER(H30),ISNUMBER(K30)),1-H30/K30,"")</f>
        <v>0.00416402116402115</v>
      </c>
      <c r="O30" s="24" t="n">
        <f aca="false">IF(J30="UNKNOWN","",INDEX(Cost_Rollup!$F$5:$F$16,MATCH(I30,Cost_Rollup!$A$5:$A$16,0)))</f>
        <v>1206.4054</v>
      </c>
      <c r="P30" s="24" t="n">
        <f aca="false">IF(AND(ISNUMBER(L30),ISNUMBER(O30)),G30*O30,"")</f>
        <v>8444.8378</v>
      </c>
      <c r="Q30" s="15" t="str">
        <f aca="false">IF(H30="","Missing price; ","")&amp;IF(J30="UNKNOWN","Unknown item; ","")&amp;IF(AND(ISNUMBER(N30),N30&gt;Discount_Threshold),"Discount above limit; ","")</f>
        <v/>
      </c>
      <c r="R30" s="15" t="str">
        <f aca="false">IF(Q30="","OK","CHECK")</f>
        <v>OK</v>
      </c>
    </row>
    <row r="31" customFormat="false" ht="15" hidden="false" customHeight="false" outlineLevel="0" collapsed="false">
      <c r="A31" s="12" t="s">
        <v>301</v>
      </c>
      <c r="B31" s="30" t="n">
        <v>45714</v>
      </c>
      <c r="C31" s="12" t="s">
        <v>260</v>
      </c>
      <c r="D31" s="12" t="s">
        <v>258</v>
      </c>
      <c r="E31" s="12" t="s">
        <v>70</v>
      </c>
      <c r="F31" s="12" t="s">
        <v>112</v>
      </c>
      <c r="G31" s="23" t="n">
        <v>8</v>
      </c>
      <c r="H31" s="22" t="n">
        <v>3852.4</v>
      </c>
      <c r="I31" s="15" t="str">
        <f aca="false">UPPER(TRIM(F31))</f>
        <v>PC-BOX-1812</v>
      </c>
      <c r="J31" s="15" t="str">
        <f aca="false">IFERROR(INDEX(Items!$C$2:$C$500,MATCH(I31,Items!$H$2:$H$500,0)),"UNKNOWN")</f>
        <v>Box Culvert</v>
      </c>
      <c r="K31" s="24" t="n">
        <f aca="false">IF(J31="UNKNOWN","",INDEX(Items!$F$2:$F$500,MATCH(I31,Items!$H$2:$H$500,0)))</f>
        <v>4200</v>
      </c>
      <c r="L31" s="24" t="n">
        <f aca="false">IF(ISNUMBER(H31),G31*H31,"")</f>
        <v>30819.2</v>
      </c>
      <c r="M31" s="28" t="n">
        <f aca="false">IF(ISNUMBER(H31),G31,0)</f>
        <v>8</v>
      </c>
      <c r="N31" s="31" t="n">
        <f aca="false">IF(AND(ISNUMBER(H31),ISNUMBER(K31)),1-H31/K31,"")</f>
        <v>0.0827619047619047</v>
      </c>
      <c r="O31" s="24" t="n">
        <f aca="false">IF(J31="UNKNOWN","",INDEX(Cost_Rollup!$F$5:$F$16,MATCH(I31,Cost_Rollup!$A$5:$A$16,0)))</f>
        <v>2795.3624</v>
      </c>
      <c r="P31" s="24" t="n">
        <f aca="false">IF(AND(ISNUMBER(L31),ISNUMBER(O31)),G31*O31,"")</f>
        <v>22362.8992</v>
      </c>
      <c r="Q31" s="15" t="str">
        <f aca="false">IF(H31="","Missing price; ","")&amp;IF(J31="UNKNOWN","Unknown item; ","")&amp;IF(AND(ISNUMBER(N31),N31&gt;Discount_Threshold),"Discount above limit; ","")</f>
        <v/>
      </c>
      <c r="R31" s="15" t="str">
        <f aca="false">IF(Q31="","OK","CHECK")</f>
        <v>OK</v>
      </c>
    </row>
    <row r="32" customFormat="false" ht="15" hidden="false" customHeight="false" outlineLevel="0" collapsed="false">
      <c r="A32" s="12" t="s">
        <v>302</v>
      </c>
      <c r="B32" s="30" t="n">
        <v>45715</v>
      </c>
      <c r="C32" s="12" t="s">
        <v>265</v>
      </c>
      <c r="D32" s="12" t="s">
        <v>266</v>
      </c>
      <c r="E32" s="12" t="s">
        <v>70</v>
      </c>
      <c r="F32" s="12" t="s">
        <v>129</v>
      </c>
      <c r="G32" s="23" t="n">
        <v>40</v>
      </c>
      <c r="H32" s="22" t="n">
        <v>2253.38</v>
      </c>
      <c r="I32" s="15" t="str">
        <f aca="false">UPPER(TRIM(F32))</f>
        <v>PC-BAR-SS60</v>
      </c>
      <c r="J32" s="15" t="str">
        <f aca="false">IFERROR(INDEX(Items!$C$2:$C$500,MATCH(I32,Items!$H$2:$H$500,0)),"UNKNOWN")</f>
        <v>Barrier</v>
      </c>
      <c r="K32" s="24" t="n">
        <f aca="false">IF(J32="UNKNOWN","",INDEX(Items!$F$2:$F$500,MATCH(I32,Items!$H$2:$H$500,0)))</f>
        <v>2350</v>
      </c>
      <c r="L32" s="24" t="n">
        <f aca="false">IF(ISNUMBER(H32),G32*H32,"")</f>
        <v>90135.2</v>
      </c>
      <c r="M32" s="28" t="n">
        <f aca="false">IF(ISNUMBER(H32),G32,0)</f>
        <v>40</v>
      </c>
      <c r="N32" s="31" t="n">
        <f aca="false">IF(AND(ISNUMBER(H32),ISNUMBER(K32)),1-H32/K32,"")</f>
        <v>0.0411148936170213</v>
      </c>
      <c r="O32" s="24" t="n">
        <f aca="false">IF(J32="UNKNOWN","",INDEX(Cost_Rollup!$F$5:$F$16,MATCH(I32,Cost_Rollup!$A$5:$A$16,0)))</f>
        <v>1583.5454</v>
      </c>
      <c r="P32" s="24" t="n">
        <f aca="false">IF(AND(ISNUMBER(L32),ISNUMBER(O32)),G32*O32,"")</f>
        <v>63341.816</v>
      </c>
      <c r="Q32" s="15" t="str">
        <f aca="false">IF(H32="","Missing price; ","")&amp;IF(J32="UNKNOWN","Unknown item; ","")&amp;IF(AND(ISNUMBER(N32),N32&gt;Discount_Threshold),"Discount above limit; ","")</f>
        <v/>
      </c>
      <c r="R32" s="15" t="str">
        <f aca="false">IF(Q32="","OK","CHECK")</f>
        <v>OK</v>
      </c>
    </row>
    <row r="33" customFormat="false" ht="15" hidden="false" customHeight="false" outlineLevel="0" collapsed="false">
      <c r="A33" s="12" t="s">
        <v>303</v>
      </c>
      <c r="B33" s="30" t="n">
        <v>45717</v>
      </c>
      <c r="C33" s="12" t="s">
        <v>273</v>
      </c>
      <c r="D33" s="12" t="s">
        <v>274</v>
      </c>
      <c r="E33" s="12" t="s">
        <v>147</v>
      </c>
      <c r="F33" s="12" t="s">
        <v>108</v>
      </c>
      <c r="G33" s="23" t="n">
        <v>5</v>
      </c>
      <c r="H33" s="22" t="n">
        <v>1169.24</v>
      </c>
      <c r="I33" s="15" t="str">
        <f aca="false">UPPER(TRIM(F33))</f>
        <v>PC-RCP-0900</v>
      </c>
      <c r="J33" s="15" t="str">
        <f aca="false">IFERROR(INDEX(Items!$C$2:$C$500,MATCH(I33,Items!$H$2:$H$500,0)),"UNKNOWN")</f>
        <v>Pipe</v>
      </c>
      <c r="K33" s="24" t="n">
        <f aca="false">IF(J33="UNKNOWN","",INDEX(Items!$F$2:$F$500,MATCH(I33,Items!$H$2:$H$500,0)))</f>
        <v>1150</v>
      </c>
      <c r="L33" s="24" t="n">
        <f aca="false">IF(ISNUMBER(H33),G33*H33,"")</f>
        <v>5846.2</v>
      </c>
      <c r="M33" s="28" t="n">
        <f aca="false">IF(ISNUMBER(H33),G33,0)</f>
        <v>5</v>
      </c>
      <c r="N33" s="31" t="n">
        <f aca="false">IF(AND(ISNUMBER(H33),ISNUMBER(K33)),1-H33/K33,"")</f>
        <v>-0.0167304347826087</v>
      </c>
      <c r="O33" s="24" t="n">
        <f aca="false">IF(J33="UNKNOWN","",INDEX(Cost_Rollup!$F$5:$F$16,MATCH(I33,Cost_Rollup!$A$5:$A$16,0)))</f>
        <v>750.4337265687</v>
      </c>
      <c r="P33" s="24" t="n">
        <f aca="false">IF(AND(ISNUMBER(L33),ISNUMBER(O33)),G33*O33,"")</f>
        <v>3752.1686328435</v>
      </c>
      <c r="Q33" s="15" t="str">
        <f aca="false">IF(H33="","Missing price; ","")&amp;IF(J33="UNKNOWN","Unknown item; ","")&amp;IF(AND(ISNUMBER(N33),N33&gt;Discount_Threshold),"Discount above limit; ","")</f>
        <v/>
      </c>
      <c r="R33" s="15" t="str">
        <f aca="false">IF(Q33="","OK","CHECK")</f>
        <v>OK</v>
      </c>
    </row>
    <row r="34" customFormat="false" ht="15" hidden="false" customHeight="false" outlineLevel="0" collapsed="false">
      <c r="A34" s="12" t="s">
        <v>304</v>
      </c>
      <c r="B34" s="30" t="n">
        <v>45717</v>
      </c>
      <c r="C34" s="12" t="s">
        <v>265</v>
      </c>
      <c r="D34" s="12" t="s">
        <v>266</v>
      </c>
      <c r="E34" s="12" t="s">
        <v>70</v>
      </c>
      <c r="F34" s="12" t="s">
        <v>125</v>
      </c>
      <c r="G34" s="23" t="n">
        <v>36</v>
      </c>
      <c r="H34" s="22" t="n">
        <v>1374.2</v>
      </c>
      <c r="I34" s="15" t="str">
        <f aca="false">UPPER(TRIM(F34))</f>
        <v>PC-BAR-F38</v>
      </c>
      <c r="J34" s="15" t="str">
        <f aca="false">IFERROR(INDEX(Items!$C$2:$C$500,MATCH(I34,Items!$H$2:$H$500,0)),"UNKNOWN")</f>
        <v>Barrier</v>
      </c>
      <c r="K34" s="24" t="n">
        <f aca="false">IF(J34="UNKNOWN","",INDEX(Items!$F$2:$F$500,MATCH(I34,Items!$H$2:$H$500,0)))</f>
        <v>1450</v>
      </c>
      <c r="L34" s="24" t="n">
        <f aca="false">IF(ISNUMBER(H34),G34*H34,"")</f>
        <v>49471.2</v>
      </c>
      <c r="M34" s="28" t="n">
        <f aca="false">IF(ISNUMBER(H34),G34,0)</f>
        <v>36</v>
      </c>
      <c r="N34" s="31" t="n">
        <f aca="false">IF(AND(ISNUMBER(H34),ISNUMBER(K34)),1-H34/K34,"")</f>
        <v>0.0522758620689655</v>
      </c>
      <c r="O34" s="24" t="n">
        <f aca="false">IF(J34="UNKNOWN","",INDEX(Cost_Rollup!$F$5:$F$16,MATCH(I34,Cost_Rollup!$A$5:$A$16,0)))</f>
        <v>978.66328</v>
      </c>
      <c r="P34" s="24" t="n">
        <f aca="false">IF(AND(ISNUMBER(L34),ISNUMBER(O34)),G34*O34,"")</f>
        <v>35231.87808</v>
      </c>
      <c r="Q34" s="15" t="str">
        <f aca="false">IF(H34="","Missing price; ","")&amp;IF(J34="UNKNOWN","Unknown item; ","")&amp;IF(AND(ISNUMBER(N34),N34&gt;Discount_Threshold),"Discount above limit; ","")</f>
        <v/>
      </c>
      <c r="R34" s="15" t="str">
        <f aca="false">IF(Q34="","OK","CHECK")</f>
        <v>OK</v>
      </c>
    </row>
    <row r="35" customFormat="false" ht="15" hidden="false" customHeight="false" outlineLevel="0" collapsed="false">
      <c r="A35" s="12" t="s">
        <v>305</v>
      </c>
      <c r="B35" s="30" t="n">
        <v>45719</v>
      </c>
      <c r="C35" s="12" t="s">
        <v>268</v>
      </c>
      <c r="D35" s="12" t="s">
        <v>269</v>
      </c>
      <c r="E35" s="12" t="s">
        <v>70</v>
      </c>
      <c r="F35" s="12" t="s">
        <v>108</v>
      </c>
      <c r="G35" s="23" t="n">
        <v>18</v>
      </c>
      <c r="H35" s="22" t="n">
        <v>1036.85</v>
      </c>
      <c r="I35" s="15" t="str">
        <f aca="false">UPPER(TRIM(F35))</f>
        <v>PC-RCP-0900</v>
      </c>
      <c r="J35" s="15" t="str">
        <f aca="false">IFERROR(INDEX(Items!$C$2:$C$500,MATCH(I35,Items!$H$2:$H$500,0)),"UNKNOWN")</f>
        <v>Pipe</v>
      </c>
      <c r="K35" s="24" t="n">
        <f aca="false">IF(J35="UNKNOWN","",INDEX(Items!$F$2:$F$500,MATCH(I35,Items!$H$2:$H$500,0)))</f>
        <v>1150</v>
      </c>
      <c r="L35" s="24" t="n">
        <f aca="false">IF(ISNUMBER(H35),G35*H35,"")</f>
        <v>18663.3</v>
      </c>
      <c r="M35" s="28" t="n">
        <f aca="false">IF(ISNUMBER(H35),G35,0)</f>
        <v>18</v>
      </c>
      <c r="N35" s="31" t="n">
        <f aca="false">IF(AND(ISNUMBER(H35),ISNUMBER(K35)),1-H35/K35,"")</f>
        <v>0.0983913043478262</v>
      </c>
      <c r="O35" s="24" t="n">
        <f aca="false">IF(J35="UNKNOWN","",INDEX(Cost_Rollup!$F$5:$F$16,MATCH(I35,Cost_Rollup!$A$5:$A$16,0)))</f>
        <v>750.4337265687</v>
      </c>
      <c r="P35" s="24" t="n">
        <f aca="false">IF(AND(ISNUMBER(L35),ISNUMBER(O35)),G35*O35,"")</f>
        <v>13507.8070782366</v>
      </c>
      <c r="Q35" s="15" t="str">
        <f aca="false">IF(H35="","Missing price; ","")&amp;IF(J35="UNKNOWN","Unknown item; ","")&amp;IF(AND(ISNUMBER(N35),N35&gt;Discount_Threshold),"Discount above limit; ","")</f>
        <v/>
      </c>
      <c r="R35" s="15" t="str">
        <f aca="false">IF(Q35="","OK","CHECK")</f>
        <v>OK</v>
      </c>
    </row>
    <row r="36" customFormat="false" ht="15" hidden="false" customHeight="false" outlineLevel="0" collapsed="false">
      <c r="A36" s="12" t="s">
        <v>306</v>
      </c>
      <c r="B36" s="30" t="n">
        <v>45720</v>
      </c>
      <c r="C36" s="12" t="s">
        <v>292</v>
      </c>
      <c r="D36" s="12" t="s">
        <v>277</v>
      </c>
      <c r="E36" s="12" t="s">
        <v>70</v>
      </c>
      <c r="F36" s="12" t="s">
        <v>129</v>
      </c>
      <c r="G36" s="23" t="n">
        <v>12</v>
      </c>
      <c r="H36" s="22" t="n">
        <v>2153.92</v>
      </c>
      <c r="I36" s="15" t="str">
        <f aca="false">UPPER(TRIM(F36))</f>
        <v>PC-BAR-SS60</v>
      </c>
      <c r="J36" s="15" t="str">
        <f aca="false">IFERROR(INDEX(Items!$C$2:$C$500,MATCH(I36,Items!$H$2:$H$500,0)),"UNKNOWN")</f>
        <v>Barrier</v>
      </c>
      <c r="K36" s="24" t="n">
        <f aca="false">IF(J36="UNKNOWN","",INDEX(Items!$F$2:$F$500,MATCH(I36,Items!$H$2:$H$500,0)))</f>
        <v>2350</v>
      </c>
      <c r="L36" s="24" t="n">
        <f aca="false">IF(ISNUMBER(H36),G36*H36,"")</f>
        <v>25847.04</v>
      </c>
      <c r="M36" s="28" t="n">
        <f aca="false">IF(ISNUMBER(H36),G36,0)</f>
        <v>12</v>
      </c>
      <c r="N36" s="31" t="n">
        <f aca="false">IF(AND(ISNUMBER(H36),ISNUMBER(K36)),1-H36/K36,"")</f>
        <v>0.0834382978723404</v>
      </c>
      <c r="O36" s="24" t="n">
        <f aca="false">IF(J36="UNKNOWN","",INDEX(Cost_Rollup!$F$5:$F$16,MATCH(I36,Cost_Rollup!$A$5:$A$16,0)))</f>
        <v>1583.5454</v>
      </c>
      <c r="P36" s="24" t="n">
        <f aca="false">IF(AND(ISNUMBER(L36),ISNUMBER(O36)),G36*O36,"")</f>
        <v>19002.5448</v>
      </c>
      <c r="Q36" s="15" t="str">
        <f aca="false">IF(H36="","Missing price; ","")&amp;IF(J36="UNKNOWN","Unknown item; ","")&amp;IF(AND(ISNUMBER(N36),N36&gt;Discount_Threshold),"Discount above limit; ","")</f>
        <v/>
      </c>
      <c r="R36" s="15" t="str">
        <f aca="false">IF(Q36="","OK","CHECK")</f>
        <v>OK</v>
      </c>
    </row>
    <row r="37" customFormat="false" ht="15" hidden="false" customHeight="false" outlineLevel="0" collapsed="false">
      <c r="A37" s="12" t="s">
        <v>307</v>
      </c>
      <c r="B37" s="30" t="n">
        <v>45722</v>
      </c>
      <c r="C37" s="12" t="s">
        <v>276</v>
      </c>
      <c r="D37" s="12" t="s">
        <v>277</v>
      </c>
      <c r="E37" s="12" t="s">
        <v>70</v>
      </c>
      <c r="F37" s="12" t="s">
        <v>131</v>
      </c>
      <c r="G37" s="23" t="n">
        <v>400</v>
      </c>
      <c r="H37" s="22" t="n">
        <v>116.83</v>
      </c>
      <c r="I37" s="15" t="str">
        <f aca="false">UPPER(TRIM(F37))</f>
        <v>PC-HC-200</v>
      </c>
      <c r="J37" s="15" t="str">
        <f aca="false">IFERROR(INDEX(Items!$C$2:$C$500,MATCH(I37,Items!$H$2:$H$500,0)),"UNKNOWN")</f>
        <v>Slab</v>
      </c>
      <c r="K37" s="24" t="n">
        <f aca="false">IF(J37="UNKNOWN","",INDEX(Items!$F$2:$F$500,MATCH(I37,Items!$H$2:$H$500,0)))</f>
        <v>118</v>
      </c>
      <c r="L37" s="24" t="n">
        <f aca="false">IF(ISNUMBER(H37),G37*H37,"")</f>
        <v>46732</v>
      </c>
      <c r="M37" s="28" t="n">
        <f aca="false">IF(ISNUMBER(H37),G37,0)</f>
        <v>400</v>
      </c>
      <c r="N37" s="31" t="n">
        <f aca="false">IF(AND(ISNUMBER(H37),ISNUMBER(K37)),1-H37/K37,"")</f>
        <v>0.00991525423728812</v>
      </c>
      <c r="O37" s="24" t="n">
        <f aca="false">IF(J37="UNKNOWN","",INDEX(Cost_Rollup!$F$5:$F$16,MATCH(I37,Cost_Rollup!$A$5:$A$16,0)))</f>
        <v>78.89382</v>
      </c>
      <c r="P37" s="24" t="n">
        <f aca="false">IF(AND(ISNUMBER(L37),ISNUMBER(O37)),G37*O37,"")</f>
        <v>31557.528</v>
      </c>
      <c r="Q37" s="15" t="str">
        <f aca="false">IF(H37="","Missing price; ","")&amp;IF(J37="UNKNOWN","Unknown item; ","")&amp;IF(AND(ISNUMBER(N37),N37&gt;Discount_Threshold),"Discount above limit; ","")</f>
        <v/>
      </c>
      <c r="R37" s="15" t="str">
        <f aca="false">IF(Q37="","OK","CHECK")</f>
        <v>OK</v>
      </c>
    </row>
    <row r="38" customFormat="false" ht="15" hidden="false" customHeight="false" outlineLevel="0" collapsed="false">
      <c r="A38" s="12" t="s">
        <v>308</v>
      </c>
      <c r="B38" s="30" t="n">
        <v>45723</v>
      </c>
      <c r="C38" s="12" t="s">
        <v>257</v>
      </c>
      <c r="D38" s="12" t="s">
        <v>258</v>
      </c>
      <c r="E38" s="12" t="s">
        <v>70</v>
      </c>
      <c r="F38" s="12" t="s">
        <v>125</v>
      </c>
      <c r="G38" s="23" t="n">
        <v>37</v>
      </c>
      <c r="H38" s="22" t="n">
        <v>1436.38</v>
      </c>
      <c r="I38" s="15" t="str">
        <f aca="false">UPPER(TRIM(F38))</f>
        <v>PC-BAR-F38</v>
      </c>
      <c r="J38" s="15" t="str">
        <f aca="false">IFERROR(INDEX(Items!$C$2:$C$500,MATCH(I38,Items!$H$2:$H$500,0)),"UNKNOWN")</f>
        <v>Barrier</v>
      </c>
      <c r="K38" s="24" t="n">
        <f aca="false">IF(J38="UNKNOWN","",INDEX(Items!$F$2:$F$500,MATCH(I38,Items!$H$2:$H$500,0)))</f>
        <v>1450</v>
      </c>
      <c r="L38" s="24" t="n">
        <f aca="false">IF(ISNUMBER(H38),G38*H38,"")</f>
        <v>53146.06</v>
      </c>
      <c r="M38" s="28" t="n">
        <f aca="false">IF(ISNUMBER(H38),G38,0)</f>
        <v>37</v>
      </c>
      <c r="N38" s="31" t="n">
        <f aca="false">IF(AND(ISNUMBER(H38),ISNUMBER(K38)),1-H38/K38,"")</f>
        <v>0.00939310344827582</v>
      </c>
      <c r="O38" s="24" t="n">
        <f aca="false">IF(J38="UNKNOWN","",INDEX(Cost_Rollup!$F$5:$F$16,MATCH(I38,Cost_Rollup!$A$5:$A$16,0)))</f>
        <v>978.66328</v>
      </c>
      <c r="P38" s="24" t="n">
        <f aca="false">IF(AND(ISNUMBER(L38),ISNUMBER(O38)),G38*O38,"")</f>
        <v>36210.54136</v>
      </c>
      <c r="Q38" s="15" t="str">
        <f aca="false">IF(H38="","Missing price; ","")&amp;IF(J38="UNKNOWN","Unknown item; ","")&amp;IF(AND(ISNUMBER(N38),N38&gt;Discount_Threshold),"Discount above limit; ","")</f>
        <v/>
      </c>
      <c r="R38" s="15" t="str">
        <f aca="false">IF(Q38="","OK","CHECK")</f>
        <v>OK</v>
      </c>
    </row>
    <row r="39" customFormat="false" ht="15" hidden="false" customHeight="false" outlineLevel="0" collapsed="false">
      <c r="A39" s="12" t="s">
        <v>309</v>
      </c>
      <c r="B39" s="30" t="n">
        <v>45724</v>
      </c>
      <c r="C39" s="12" t="s">
        <v>257</v>
      </c>
      <c r="D39" s="12" t="s">
        <v>258</v>
      </c>
      <c r="E39" s="12" t="s">
        <v>70</v>
      </c>
      <c r="F39" s="12" t="s">
        <v>125</v>
      </c>
      <c r="G39" s="23" t="n">
        <v>21</v>
      </c>
      <c r="H39" s="22" t="n">
        <v>1383.98</v>
      </c>
      <c r="I39" s="15" t="str">
        <f aca="false">UPPER(TRIM(F39))</f>
        <v>PC-BAR-F38</v>
      </c>
      <c r="J39" s="15" t="str">
        <f aca="false">IFERROR(INDEX(Items!$C$2:$C$500,MATCH(I39,Items!$H$2:$H$500,0)),"UNKNOWN")</f>
        <v>Barrier</v>
      </c>
      <c r="K39" s="24" t="n">
        <f aca="false">IF(J39="UNKNOWN","",INDEX(Items!$F$2:$F$500,MATCH(I39,Items!$H$2:$H$500,0)))</f>
        <v>1450</v>
      </c>
      <c r="L39" s="24" t="n">
        <f aca="false">IF(ISNUMBER(H39),G39*H39,"")</f>
        <v>29063.58</v>
      </c>
      <c r="M39" s="28" t="n">
        <f aca="false">IF(ISNUMBER(H39),G39,0)</f>
        <v>21</v>
      </c>
      <c r="N39" s="31" t="n">
        <f aca="false">IF(AND(ISNUMBER(H39),ISNUMBER(K39)),1-H39/K39,"")</f>
        <v>0.0455310344827586</v>
      </c>
      <c r="O39" s="24" t="n">
        <f aca="false">IF(J39="UNKNOWN","",INDEX(Cost_Rollup!$F$5:$F$16,MATCH(I39,Cost_Rollup!$A$5:$A$16,0)))</f>
        <v>978.66328</v>
      </c>
      <c r="P39" s="24" t="n">
        <f aca="false">IF(AND(ISNUMBER(L39),ISNUMBER(O39)),G39*O39,"")</f>
        <v>20551.92888</v>
      </c>
      <c r="Q39" s="15" t="str">
        <f aca="false">IF(H39="","Missing price; ","")&amp;IF(J39="UNKNOWN","Unknown item; ","")&amp;IF(AND(ISNUMBER(N39),N39&gt;Discount_Threshold),"Discount above limit; ","")</f>
        <v/>
      </c>
      <c r="R39" s="15" t="str">
        <f aca="false">IF(Q39="","OK","CHECK")</f>
        <v>OK</v>
      </c>
    </row>
    <row r="40" customFormat="false" ht="15" hidden="false" customHeight="false" outlineLevel="0" collapsed="false">
      <c r="A40" s="12" t="s">
        <v>310</v>
      </c>
      <c r="B40" s="30" t="n">
        <v>45727</v>
      </c>
      <c r="C40" s="12" t="s">
        <v>276</v>
      </c>
      <c r="D40" s="12" t="s">
        <v>277</v>
      </c>
      <c r="E40" s="12" t="s">
        <v>70</v>
      </c>
      <c r="F40" s="12" t="s">
        <v>118</v>
      </c>
      <c r="G40" s="23" t="n">
        <v>5</v>
      </c>
      <c r="H40" s="22" t="n">
        <v>1121</v>
      </c>
      <c r="I40" s="15" t="str">
        <f aca="false">UPPER(TRIM(F40))</f>
        <v>PC-MH-1200B</v>
      </c>
      <c r="J40" s="15" t="str">
        <f aca="false">IFERROR(INDEX(Items!$C$2:$C$500,MATCH(I40,Items!$H$2:$H$500,0)),"UNKNOWN")</f>
        <v>Manhole</v>
      </c>
      <c r="K40" s="24" t="n">
        <f aca="false">IF(J40="UNKNOWN","",INDEX(Items!$F$2:$F$500,MATCH(I40,Items!$H$2:$H$500,0)))</f>
        <v>1240</v>
      </c>
      <c r="L40" s="24" t="n">
        <f aca="false">IF(ISNUMBER(H40),G40*H40,"")</f>
        <v>5605</v>
      </c>
      <c r="M40" s="28" t="n">
        <f aca="false">IF(ISNUMBER(H40),G40,0)</f>
        <v>5</v>
      </c>
      <c r="N40" s="31" t="n">
        <f aca="false">IF(AND(ISNUMBER(H40),ISNUMBER(K40)),1-H40/K40,"")</f>
        <v>0.0959677419354839</v>
      </c>
      <c r="O40" s="24" t="n">
        <f aca="false">IF(J40="UNKNOWN","",INDEX(Cost_Rollup!$F$5:$F$16,MATCH(I40,Cost_Rollup!$A$5:$A$16,0)))</f>
        <v>753.4208</v>
      </c>
      <c r="P40" s="24" t="n">
        <f aca="false">IF(AND(ISNUMBER(L40),ISNUMBER(O40)),G40*O40,"")</f>
        <v>3767.104</v>
      </c>
      <c r="Q40" s="15" t="str">
        <f aca="false">IF(H40="","Missing price; ","")&amp;IF(J40="UNKNOWN","Unknown item; ","")&amp;IF(AND(ISNUMBER(N40),N40&gt;Discount_Threshold),"Discount above limit; ","")</f>
        <v/>
      </c>
      <c r="R40" s="15" t="str">
        <f aca="false">IF(Q40="","OK","CHECK")</f>
        <v>OK</v>
      </c>
    </row>
    <row r="41" customFormat="false" ht="15" hidden="false" customHeight="false" outlineLevel="0" collapsed="false">
      <c r="A41" s="12" t="s">
        <v>311</v>
      </c>
      <c r="B41" s="30" t="n">
        <v>45732</v>
      </c>
      <c r="C41" s="12" t="s">
        <v>276</v>
      </c>
      <c r="D41" s="12" t="s">
        <v>277</v>
      </c>
      <c r="E41" s="12" t="s">
        <v>70</v>
      </c>
      <c r="F41" s="12" t="s">
        <v>112</v>
      </c>
      <c r="G41" s="23" t="n">
        <v>9</v>
      </c>
      <c r="H41" s="22" t="n">
        <v>4125.71</v>
      </c>
      <c r="I41" s="15" t="str">
        <f aca="false">UPPER(TRIM(F41))</f>
        <v>PC-BOX-1812</v>
      </c>
      <c r="J41" s="15" t="str">
        <f aca="false">IFERROR(INDEX(Items!$C$2:$C$500,MATCH(I41,Items!$H$2:$H$500,0)),"UNKNOWN")</f>
        <v>Box Culvert</v>
      </c>
      <c r="K41" s="24" t="n">
        <f aca="false">IF(J41="UNKNOWN","",INDEX(Items!$F$2:$F$500,MATCH(I41,Items!$H$2:$H$500,0)))</f>
        <v>4200</v>
      </c>
      <c r="L41" s="24" t="n">
        <f aca="false">IF(ISNUMBER(H41),G41*H41,"")</f>
        <v>37131.39</v>
      </c>
      <c r="M41" s="28" t="n">
        <f aca="false">IF(ISNUMBER(H41),G41,0)</f>
        <v>9</v>
      </c>
      <c r="N41" s="31" t="n">
        <f aca="false">IF(AND(ISNUMBER(H41),ISNUMBER(K41)),1-H41/K41,"")</f>
        <v>0.0176880952380952</v>
      </c>
      <c r="O41" s="24" t="n">
        <f aca="false">IF(J41="UNKNOWN","",INDEX(Cost_Rollup!$F$5:$F$16,MATCH(I41,Cost_Rollup!$A$5:$A$16,0)))</f>
        <v>2795.3624</v>
      </c>
      <c r="P41" s="24" t="n">
        <f aca="false">IF(AND(ISNUMBER(L41),ISNUMBER(O41)),G41*O41,"")</f>
        <v>25158.2616</v>
      </c>
      <c r="Q41" s="15" t="str">
        <f aca="false">IF(H41="","Missing price; ","")&amp;IF(J41="UNKNOWN","Unknown item; ","")&amp;IF(AND(ISNUMBER(N41),N41&gt;Discount_Threshold),"Discount above limit; ","")</f>
        <v/>
      </c>
      <c r="R41" s="15" t="str">
        <f aca="false">IF(Q41="","OK","CHECK")</f>
        <v>OK</v>
      </c>
    </row>
    <row r="42" customFormat="false" ht="15" hidden="false" customHeight="false" outlineLevel="0" collapsed="false">
      <c r="A42" s="12" t="s">
        <v>312</v>
      </c>
      <c r="B42" s="30" t="n">
        <v>45734</v>
      </c>
      <c r="C42" s="12" t="s">
        <v>268</v>
      </c>
      <c r="D42" s="12" t="s">
        <v>269</v>
      </c>
      <c r="E42" s="12" t="s">
        <v>70</v>
      </c>
      <c r="F42" s="12" t="s">
        <v>112</v>
      </c>
      <c r="G42" s="23" t="n">
        <v>10</v>
      </c>
      <c r="H42" s="22" t="n">
        <v>3964.56</v>
      </c>
      <c r="I42" s="15" t="str">
        <f aca="false">UPPER(TRIM(F42))</f>
        <v>PC-BOX-1812</v>
      </c>
      <c r="J42" s="15" t="str">
        <f aca="false">IFERROR(INDEX(Items!$C$2:$C$500,MATCH(I42,Items!$H$2:$H$500,0)),"UNKNOWN")</f>
        <v>Box Culvert</v>
      </c>
      <c r="K42" s="24" t="n">
        <f aca="false">IF(J42="UNKNOWN","",INDEX(Items!$F$2:$F$500,MATCH(I42,Items!$H$2:$H$500,0)))</f>
        <v>4200</v>
      </c>
      <c r="L42" s="24" t="n">
        <f aca="false">IF(ISNUMBER(H42),G42*H42,"")</f>
        <v>39645.6</v>
      </c>
      <c r="M42" s="28" t="n">
        <f aca="false">IF(ISNUMBER(H42),G42,0)</f>
        <v>10</v>
      </c>
      <c r="N42" s="31" t="n">
        <f aca="false">IF(AND(ISNUMBER(H42),ISNUMBER(K42)),1-H42/K42,"")</f>
        <v>0.0560571428571429</v>
      </c>
      <c r="O42" s="24" t="n">
        <f aca="false">IF(J42="UNKNOWN","",INDEX(Cost_Rollup!$F$5:$F$16,MATCH(I42,Cost_Rollup!$A$5:$A$16,0)))</f>
        <v>2795.3624</v>
      </c>
      <c r="P42" s="24" t="n">
        <f aca="false">IF(AND(ISNUMBER(L42),ISNUMBER(O42)),G42*O42,"")</f>
        <v>27953.624</v>
      </c>
      <c r="Q42" s="15" t="str">
        <f aca="false">IF(H42="","Missing price; ","")&amp;IF(J42="UNKNOWN","Unknown item; ","")&amp;IF(AND(ISNUMBER(N42),N42&gt;Discount_Threshold),"Discount above limit; ","")</f>
        <v/>
      </c>
      <c r="R42" s="15" t="str">
        <f aca="false">IF(Q42="","OK","CHECK")</f>
        <v>OK</v>
      </c>
    </row>
    <row r="43" customFormat="false" ht="15" hidden="false" customHeight="false" outlineLevel="0" collapsed="false">
      <c r="A43" s="12" t="s">
        <v>313</v>
      </c>
      <c r="B43" s="30" t="n">
        <v>45735</v>
      </c>
      <c r="C43" s="12" t="s">
        <v>279</v>
      </c>
      <c r="D43" s="12" t="s">
        <v>280</v>
      </c>
      <c r="E43" s="12" t="s">
        <v>147</v>
      </c>
      <c r="F43" s="12" t="s">
        <v>112</v>
      </c>
      <c r="G43" s="23" t="n">
        <v>3</v>
      </c>
      <c r="H43" s="22" t="n">
        <v>4148.48</v>
      </c>
      <c r="I43" s="15" t="str">
        <f aca="false">UPPER(TRIM(F43))</f>
        <v>PC-BOX-1812</v>
      </c>
      <c r="J43" s="15" t="str">
        <f aca="false">IFERROR(INDEX(Items!$C$2:$C$500,MATCH(I43,Items!$H$2:$H$500,0)),"UNKNOWN")</f>
        <v>Box Culvert</v>
      </c>
      <c r="K43" s="24" t="n">
        <f aca="false">IF(J43="UNKNOWN","",INDEX(Items!$F$2:$F$500,MATCH(I43,Items!$H$2:$H$500,0)))</f>
        <v>4200</v>
      </c>
      <c r="L43" s="24" t="n">
        <f aca="false">IF(ISNUMBER(H43),G43*H43,"")</f>
        <v>12445.44</v>
      </c>
      <c r="M43" s="28" t="n">
        <f aca="false">IF(ISNUMBER(H43),G43,0)</f>
        <v>3</v>
      </c>
      <c r="N43" s="31" t="n">
        <f aca="false">IF(AND(ISNUMBER(H43),ISNUMBER(K43)),1-H43/K43,"")</f>
        <v>0.0122666666666668</v>
      </c>
      <c r="O43" s="24" t="n">
        <f aca="false">IF(J43="UNKNOWN","",INDEX(Cost_Rollup!$F$5:$F$16,MATCH(I43,Cost_Rollup!$A$5:$A$16,0)))</f>
        <v>2795.3624</v>
      </c>
      <c r="P43" s="24" t="n">
        <f aca="false">IF(AND(ISNUMBER(L43),ISNUMBER(O43)),G43*O43,"")</f>
        <v>8386.0872</v>
      </c>
      <c r="Q43" s="15" t="str">
        <f aca="false">IF(H43="","Missing price; ","")&amp;IF(J43="UNKNOWN","Unknown item; ","")&amp;IF(AND(ISNUMBER(N43),N43&gt;Discount_Threshold),"Discount above limit; ","")</f>
        <v/>
      </c>
      <c r="R43" s="15" t="str">
        <f aca="false">IF(Q43="","OK","CHECK")</f>
        <v>OK</v>
      </c>
    </row>
    <row r="44" customFormat="false" ht="15" hidden="false" customHeight="false" outlineLevel="0" collapsed="false">
      <c r="A44" s="12" t="s">
        <v>314</v>
      </c>
      <c r="B44" s="30" t="n">
        <v>45737</v>
      </c>
      <c r="C44" s="12" t="s">
        <v>268</v>
      </c>
      <c r="D44" s="12" t="s">
        <v>269</v>
      </c>
      <c r="E44" s="12" t="s">
        <v>70</v>
      </c>
      <c r="F44" s="12" t="s">
        <v>115</v>
      </c>
      <c r="G44" s="23" t="n">
        <v>6</v>
      </c>
      <c r="H44" s="22" t="n">
        <v>936.65</v>
      </c>
      <c r="I44" s="15" t="str">
        <f aca="false">UPPER(TRIM(F44))</f>
        <v>PC-MH-1050B</v>
      </c>
      <c r="J44" s="15" t="str">
        <f aca="false">IFERROR(INDEX(Items!$C$2:$C$500,MATCH(I44,Items!$H$2:$H$500,0)),"UNKNOWN")</f>
        <v>Manhole</v>
      </c>
      <c r="K44" s="24" t="n">
        <f aca="false">IF(J44="UNKNOWN","",INDEX(Items!$F$2:$F$500,MATCH(I44,Items!$H$2:$H$500,0)))</f>
        <v>980</v>
      </c>
      <c r="L44" s="24" t="n">
        <f aca="false">IF(ISNUMBER(H44),G44*H44,"")</f>
        <v>5619.9</v>
      </c>
      <c r="M44" s="28" t="n">
        <f aca="false">IF(ISNUMBER(H44),G44,0)</f>
        <v>6</v>
      </c>
      <c r="N44" s="31" t="n">
        <f aca="false">IF(AND(ISNUMBER(H44),ISNUMBER(K44)),1-H44/K44,"")</f>
        <v>0.0442346938775511</v>
      </c>
      <c r="O44" s="24" t="n">
        <f aca="false">IF(J44="UNKNOWN","",INDEX(Cost_Rollup!$F$5:$F$16,MATCH(I44,Cost_Rollup!$A$5:$A$16,0)))</f>
        <v>635.433</v>
      </c>
      <c r="P44" s="24" t="n">
        <f aca="false">IF(AND(ISNUMBER(L44),ISNUMBER(O44)),G44*O44,"")</f>
        <v>3812.598</v>
      </c>
      <c r="Q44" s="15" t="str">
        <f aca="false">IF(H44="","Missing price; ","")&amp;IF(J44="UNKNOWN","Unknown item; ","")&amp;IF(AND(ISNUMBER(N44),N44&gt;Discount_Threshold),"Discount above limit; ","")</f>
        <v/>
      </c>
      <c r="R44" s="15" t="str">
        <f aca="false">IF(Q44="","OK","CHECK")</f>
        <v>OK</v>
      </c>
    </row>
    <row r="45" customFormat="false" ht="15" hidden="false" customHeight="false" outlineLevel="0" collapsed="false">
      <c r="A45" s="12" t="s">
        <v>315</v>
      </c>
      <c r="B45" s="30" t="n">
        <v>45740</v>
      </c>
      <c r="C45" s="12" t="s">
        <v>279</v>
      </c>
      <c r="D45" s="12" t="s">
        <v>280</v>
      </c>
      <c r="E45" s="12" t="s">
        <v>147</v>
      </c>
      <c r="F45" s="12" t="s">
        <v>131</v>
      </c>
      <c r="G45" s="23" t="n">
        <v>251</v>
      </c>
      <c r="H45" s="22" t="n">
        <v>107.84</v>
      </c>
      <c r="I45" s="15" t="str">
        <f aca="false">UPPER(TRIM(F45))</f>
        <v>PC-HC-200</v>
      </c>
      <c r="J45" s="15" t="str">
        <f aca="false">IFERROR(INDEX(Items!$C$2:$C$500,MATCH(I45,Items!$H$2:$H$500,0)),"UNKNOWN")</f>
        <v>Slab</v>
      </c>
      <c r="K45" s="24" t="n">
        <f aca="false">IF(J45="UNKNOWN","",INDEX(Items!$F$2:$F$500,MATCH(I45,Items!$H$2:$H$500,0)))</f>
        <v>118</v>
      </c>
      <c r="L45" s="24" t="n">
        <f aca="false">IF(ISNUMBER(H45),G45*H45,"")</f>
        <v>27067.84</v>
      </c>
      <c r="M45" s="28" t="n">
        <f aca="false">IF(ISNUMBER(H45),G45,0)</f>
        <v>251</v>
      </c>
      <c r="N45" s="31" t="n">
        <f aca="false">IF(AND(ISNUMBER(H45),ISNUMBER(K45)),1-H45/K45,"")</f>
        <v>0.0861016949152542</v>
      </c>
      <c r="O45" s="24" t="n">
        <f aca="false">IF(J45="UNKNOWN","",INDEX(Cost_Rollup!$F$5:$F$16,MATCH(I45,Cost_Rollup!$A$5:$A$16,0)))</f>
        <v>78.89382</v>
      </c>
      <c r="P45" s="24" t="n">
        <f aca="false">IF(AND(ISNUMBER(L45),ISNUMBER(O45)),G45*O45,"")</f>
        <v>19802.34882</v>
      </c>
      <c r="Q45" s="15" t="str">
        <f aca="false">IF(H45="","Missing price; ","")&amp;IF(J45="UNKNOWN","Unknown item; ","")&amp;IF(AND(ISNUMBER(N45),N45&gt;Discount_Threshold),"Discount above limit; ","")</f>
        <v/>
      </c>
      <c r="R45" s="15" t="str">
        <f aca="false">IF(Q45="","OK","CHECK")</f>
        <v>OK</v>
      </c>
    </row>
    <row r="46" customFormat="false" ht="15" hidden="false" customHeight="false" outlineLevel="0" collapsed="false">
      <c r="A46" s="12" t="s">
        <v>316</v>
      </c>
      <c r="B46" s="30" t="n">
        <v>45741</v>
      </c>
      <c r="C46" s="12" t="s">
        <v>292</v>
      </c>
      <c r="D46" s="12" t="s">
        <v>277</v>
      </c>
      <c r="E46" s="12" t="s">
        <v>70</v>
      </c>
      <c r="F46" s="12" t="s">
        <v>110</v>
      </c>
      <c r="G46" s="23" t="n">
        <v>29</v>
      </c>
      <c r="H46" s="22" t="n">
        <v>1916.88</v>
      </c>
      <c r="I46" s="15" t="str">
        <f aca="false">UPPER(TRIM(F46))</f>
        <v>PC-RCP-1200</v>
      </c>
      <c r="J46" s="15" t="str">
        <f aca="false">IFERROR(INDEX(Items!$C$2:$C$500,MATCH(I46,Items!$H$2:$H$500,0)),"UNKNOWN")</f>
        <v>Pipe</v>
      </c>
      <c r="K46" s="24" t="n">
        <f aca="false">IF(J46="UNKNOWN","",INDEX(Items!$F$2:$F$500,MATCH(I46,Items!$H$2:$H$500,0)))</f>
        <v>1890</v>
      </c>
      <c r="L46" s="24" t="n">
        <f aca="false">IF(ISNUMBER(H46),G46*H46,"")</f>
        <v>55589.52</v>
      </c>
      <c r="M46" s="28" t="n">
        <f aca="false">IF(ISNUMBER(H46),G46,0)</f>
        <v>29</v>
      </c>
      <c r="N46" s="31" t="n">
        <f aca="false">IF(AND(ISNUMBER(H46),ISNUMBER(K46)),1-H46/K46,"")</f>
        <v>-0.0142222222222224</v>
      </c>
      <c r="O46" s="24" t="n">
        <f aca="false">IF(J46="UNKNOWN","",INDEX(Cost_Rollup!$F$5:$F$16,MATCH(I46,Cost_Rollup!$A$5:$A$16,0)))</f>
        <v>1206.4054</v>
      </c>
      <c r="P46" s="24" t="n">
        <f aca="false">IF(AND(ISNUMBER(L46),ISNUMBER(O46)),G46*O46,"")</f>
        <v>34985.7566</v>
      </c>
      <c r="Q46" s="15" t="str">
        <f aca="false">IF(H46="","Missing price; ","")&amp;IF(J46="UNKNOWN","Unknown item; ","")&amp;IF(AND(ISNUMBER(N46),N46&gt;Discount_Threshold),"Discount above limit; ","")</f>
        <v/>
      </c>
      <c r="R46" s="15" t="str">
        <f aca="false">IF(Q46="","OK","CHECK")</f>
        <v>OK</v>
      </c>
    </row>
    <row r="47" customFormat="false" ht="15" hidden="false" customHeight="false" outlineLevel="0" collapsed="false">
      <c r="A47" s="12" t="s">
        <v>317</v>
      </c>
      <c r="B47" s="30" t="n">
        <v>45741</v>
      </c>
      <c r="C47" s="12" t="s">
        <v>257</v>
      </c>
      <c r="D47" s="12" t="s">
        <v>258</v>
      </c>
      <c r="E47" s="12" t="s">
        <v>70</v>
      </c>
      <c r="F47" s="12" t="s">
        <v>110</v>
      </c>
      <c r="G47" s="23" t="n">
        <v>4</v>
      </c>
      <c r="H47" s="22" t="n">
        <v>1728.82</v>
      </c>
      <c r="I47" s="15" t="str">
        <f aca="false">UPPER(TRIM(F47))</f>
        <v>PC-RCP-1200</v>
      </c>
      <c r="J47" s="15" t="str">
        <f aca="false">IFERROR(INDEX(Items!$C$2:$C$500,MATCH(I47,Items!$H$2:$H$500,0)),"UNKNOWN")</f>
        <v>Pipe</v>
      </c>
      <c r="K47" s="24" t="n">
        <f aca="false">IF(J47="UNKNOWN","",INDEX(Items!$F$2:$F$500,MATCH(I47,Items!$H$2:$H$500,0)))</f>
        <v>1890</v>
      </c>
      <c r="L47" s="24" t="n">
        <f aca="false">IF(ISNUMBER(H47),G47*H47,"")</f>
        <v>6915.28</v>
      </c>
      <c r="M47" s="28" t="n">
        <f aca="false">IF(ISNUMBER(H47),G47,0)</f>
        <v>4</v>
      </c>
      <c r="N47" s="31" t="n">
        <f aca="false">IF(AND(ISNUMBER(H47),ISNUMBER(K47)),1-H47/K47,"")</f>
        <v>0.0852804232804233</v>
      </c>
      <c r="O47" s="24" t="n">
        <f aca="false">IF(J47="UNKNOWN","",INDEX(Cost_Rollup!$F$5:$F$16,MATCH(I47,Cost_Rollup!$A$5:$A$16,0)))</f>
        <v>1206.4054</v>
      </c>
      <c r="P47" s="24" t="n">
        <f aca="false">IF(AND(ISNUMBER(L47),ISNUMBER(O47)),G47*O47,"")</f>
        <v>4825.6216</v>
      </c>
      <c r="Q47" s="15" t="str">
        <f aca="false">IF(H47="","Missing price; ","")&amp;IF(J47="UNKNOWN","Unknown item; ","")&amp;IF(AND(ISNUMBER(N47),N47&gt;Discount_Threshold),"Discount above limit; ","")</f>
        <v/>
      </c>
      <c r="R47" s="15" t="str">
        <f aca="false">IF(Q47="","OK","CHECK")</f>
        <v>OK</v>
      </c>
    </row>
    <row r="48" customFormat="false" ht="15" hidden="false" customHeight="false" outlineLevel="0" collapsed="false">
      <c r="A48" s="12" t="s">
        <v>318</v>
      </c>
      <c r="B48" s="30" t="n">
        <v>45744</v>
      </c>
      <c r="C48" s="12" t="s">
        <v>292</v>
      </c>
      <c r="D48" s="12" t="s">
        <v>277</v>
      </c>
      <c r="E48" s="12" t="s">
        <v>70</v>
      </c>
      <c r="F48" s="12" t="s">
        <v>129</v>
      </c>
      <c r="G48" s="23" t="n">
        <v>24</v>
      </c>
      <c r="H48" s="22" t="n">
        <v>2282.03</v>
      </c>
      <c r="I48" s="15" t="str">
        <f aca="false">UPPER(TRIM(F48))</f>
        <v>PC-BAR-SS60</v>
      </c>
      <c r="J48" s="15" t="str">
        <f aca="false">IFERROR(INDEX(Items!$C$2:$C$500,MATCH(I48,Items!$H$2:$H$500,0)),"UNKNOWN")</f>
        <v>Barrier</v>
      </c>
      <c r="K48" s="24" t="n">
        <f aca="false">IF(J48="UNKNOWN","",INDEX(Items!$F$2:$F$500,MATCH(I48,Items!$H$2:$H$500,0)))</f>
        <v>2350</v>
      </c>
      <c r="L48" s="24" t="n">
        <f aca="false">IF(ISNUMBER(H48),G48*H48,"")</f>
        <v>54768.72</v>
      </c>
      <c r="M48" s="28" t="n">
        <f aca="false">IF(ISNUMBER(H48),G48,0)</f>
        <v>24</v>
      </c>
      <c r="N48" s="31" t="n">
        <f aca="false">IF(AND(ISNUMBER(H48),ISNUMBER(K48)),1-H48/K48,"")</f>
        <v>0.028923404255319</v>
      </c>
      <c r="O48" s="24" t="n">
        <f aca="false">IF(J48="UNKNOWN","",INDEX(Cost_Rollup!$F$5:$F$16,MATCH(I48,Cost_Rollup!$A$5:$A$16,0)))</f>
        <v>1583.5454</v>
      </c>
      <c r="P48" s="24" t="n">
        <f aca="false">IF(AND(ISNUMBER(L48),ISNUMBER(O48)),G48*O48,"")</f>
        <v>38005.0896</v>
      </c>
      <c r="Q48" s="15" t="str">
        <f aca="false">IF(H48="","Missing price; ","")&amp;IF(J48="UNKNOWN","Unknown item; ","")&amp;IF(AND(ISNUMBER(N48),N48&gt;Discount_Threshold),"Discount above limit; ","")</f>
        <v/>
      </c>
      <c r="R48" s="15" t="str">
        <f aca="false">IF(Q48="","OK","CHECK")</f>
        <v>OK</v>
      </c>
    </row>
    <row r="49" customFormat="false" ht="15" hidden="false" customHeight="false" outlineLevel="0" collapsed="false">
      <c r="A49" s="12" t="s">
        <v>319</v>
      </c>
      <c r="B49" s="30" t="n">
        <v>45744</v>
      </c>
      <c r="C49" s="12" t="s">
        <v>276</v>
      </c>
      <c r="D49" s="12" t="s">
        <v>277</v>
      </c>
      <c r="E49" s="12" t="s">
        <v>70</v>
      </c>
      <c r="F49" s="12" t="s">
        <v>120</v>
      </c>
      <c r="G49" s="23" t="n">
        <v>7</v>
      </c>
      <c r="H49" s="22" t="n">
        <v>501.44</v>
      </c>
      <c r="I49" s="15" t="str">
        <f aca="false">UPPER(TRIM(F49))</f>
        <v>PC-MH-1200R</v>
      </c>
      <c r="J49" s="15" t="str">
        <f aca="false">IFERROR(INDEX(Items!$C$2:$C$500,MATCH(I49,Items!$H$2:$H$500,0)),"UNKNOWN")</f>
        <v>Manhole</v>
      </c>
      <c r="K49" s="24" t="n">
        <f aca="false">IF(J49="UNKNOWN","",INDEX(Items!$F$2:$F$500,MATCH(I49,Items!$H$2:$H$500,0)))</f>
        <v>520</v>
      </c>
      <c r="L49" s="24" t="n">
        <f aca="false">IF(ISNUMBER(H49),G49*H49,"")</f>
        <v>3510.08</v>
      </c>
      <c r="M49" s="28" t="n">
        <f aca="false">IF(ISNUMBER(H49),G49,0)</f>
        <v>7</v>
      </c>
      <c r="N49" s="31" t="n">
        <f aca="false">IF(AND(ISNUMBER(H49),ISNUMBER(K49)),1-H49/K49,"")</f>
        <v>0.0356923076923077</v>
      </c>
      <c r="O49" s="24" t="n">
        <f aca="false">IF(J49="UNKNOWN","",INDEX(Cost_Rollup!$F$5:$F$16,MATCH(I49,Cost_Rollup!$A$5:$A$16,0)))</f>
        <v>381.98428</v>
      </c>
      <c r="P49" s="24" t="n">
        <f aca="false">IF(AND(ISNUMBER(L49),ISNUMBER(O49)),G49*O49,"")</f>
        <v>2673.88996</v>
      </c>
      <c r="Q49" s="15" t="str">
        <f aca="false">IF(H49="","Missing price; ","")&amp;IF(J49="UNKNOWN","Unknown item; ","")&amp;IF(AND(ISNUMBER(N49),N49&gt;Discount_Threshold),"Discount above limit; ","")</f>
        <v/>
      </c>
      <c r="R49" s="15" t="str">
        <f aca="false">IF(Q49="","OK","CHECK")</f>
        <v>OK</v>
      </c>
    </row>
    <row r="50" customFormat="false" ht="15" hidden="false" customHeight="false" outlineLevel="0" collapsed="false">
      <c r="A50" s="12" t="s">
        <v>320</v>
      </c>
      <c r="B50" s="30" t="n">
        <v>45748</v>
      </c>
      <c r="C50" s="12" t="s">
        <v>263</v>
      </c>
      <c r="D50" s="12" t="s">
        <v>258</v>
      </c>
      <c r="E50" s="12" t="s">
        <v>70</v>
      </c>
      <c r="F50" s="12" t="s">
        <v>112</v>
      </c>
      <c r="G50" s="23" t="n">
        <v>10</v>
      </c>
      <c r="H50" s="22" t="n">
        <v>3848.03</v>
      </c>
      <c r="I50" s="15" t="str">
        <f aca="false">UPPER(TRIM(F50))</f>
        <v>PC-BOX-1812</v>
      </c>
      <c r="J50" s="15" t="str">
        <f aca="false">IFERROR(INDEX(Items!$C$2:$C$500,MATCH(I50,Items!$H$2:$H$500,0)),"UNKNOWN")</f>
        <v>Box Culvert</v>
      </c>
      <c r="K50" s="24" t="n">
        <f aca="false">IF(J50="UNKNOWN","",INDEX(Items!$F$2:$F$500,MATCH(I50,Items!$H$2:$H$500,0)))</f>
        <v>4200</v>
      </c>
      <c r="L50" s="24" t="n">
        <f aca="false">IF(ISNUMBER(H50),G50*H50,"")</f>
        <v>38480.3</v>
      </c>
      <c r="M50" s="28" t="n">
        <f aca="false">IF(ISNUMBER(H50),G50,0)</f>
        <v>10</v>
      </c>
      <c r="N50" s="31" t="n">
        <f aca="false">IF(AND(ISNUMBER(H50),ISNUMBER(K50)),1-H50/K50,"")</f>
        <v>0.0838023809523809</v>
      </c>
      <c r="O50" s="24" t="n">
        <f aca="false">IF(J50="UNKNOWN","",INDEX(Cost_Rollup!$F$5:$F$16,MATCH(I50,Cost_Rollup!$A$5:$A$16,0)))</f>
        <v>2795.3624</v>
      </c>
      <c r="P50" s="24" t="n">
        <f aca="false">IF(AND(ISNUMBER(L50),ISNUMBER(O50)),G50*O50,"")</f>
        <v>27953.624</v>
      </c>
      <c r="Q50" s="15" t="str">
        <f aca="false">IF(H50="","Missing price; ","")&amp;IF(J50="UNKNOWN","Unknown item; ","")&amp;IF(AND(ISNUMBER(N50),N50&gt;Discount_Threshold),"Discount above limit; ","")</f>
        <v/>
      </c>
      <c r="R50" s="15" t="str">
        <f aca="false">IF(Q50="","OK","CHECK")</f>
        <v>OK</v>
      </c>
    </row>
    <row r="51" customFormat="false" ht="15" hidden="false" customHeight="false" outlineLevel="0" collapsed="false">
      <c r="A51" s="12" t="s">
        <v>321</v>
      </c>
      <c r="B51" s="30" t="n">
        <v>45749</v>
      </c>
      <c r="C51" s="12" t="s">
        <v>276</v>
      </c>
      <c r="D51" s="12" t="s">
        <v>277</v>
      </c>
      <c r="E51" s="12" t="s">
        <v>70</v>
      </c>
      <c r="F51" s="12" t="s">
        <v>115</v>
      </c>
      <c r="G51" s="23" t="n">
        <v>6</v>
      </c>
      <c r="H51" s="22" t="n">
        <v>893.6</v>
      </c>
      <c r="I51" s="15" t="str">
        <f aca="false">UPPER(TRIM(F51))</f>
        <v>PC-MH-1050B</v>
      </c>
      <c r="J51" s="15" t="str">
        <f aca="false">IFERROR(INDEX(Items!$C$2:$C$500,MATCH(I51,Items!$H$2:$H$500,0)),"UNKNOWN")</f>
        <v>Manhole</v>
      </c>
      <c r="K51" s="24" t="n">
        <f aca="false">IF(J51="UNKNOWN","",INDEX(Items!$F$2:$F$500,MATCH(I51,Items!$H$2:$H$500,0)))</f>
        <v>980</v>
      </c>
      <c r="L51" s="24" t="n">
        <f aca="false">IF(ISNUMBER(H51),G51*H51,"")</f>
        <v>5361.6</v>
      </c>
      <c r="M51" s="28" t="n">
        <f aca="false">IF(ISNUMBER(H51),G51,0)</f>
        <v>6</v>
      </c>
      <c r="N51" s="31" t="n">
        <f aca="false">IF(AND(ISNUMBER(H51),ISNUMBER(K51)),1-H51/K51,"")</f>
        <v>0.0881632653061224</v>
      </c>
      <c r="O51" s="24" t="n">
        <f aca="false">IF(J51="UNKNOWN","",INDEX(Cost_Rollup!$F$5:$F$16,MATCH(I51,Cost_Rollup!$A$5:$A$16,0)))</f>
        <v>635.433</v>
      </c>
      <c r="P51" s="24" t="n">
        <f aca="false">IF(AND(ISNUMBER(L51),ISNUMBER(O51)),G51*O51,"")</f>
        <v>3812.598</v>
      </c>
      <c r="Q51" s="15" t="str">
        <f aca="false">IF(H51="","Missing price; ","")&amp;IF(J51="UNKNOWN","Unknown item; ","")&amp;IF(AND(ISNUMBER(N51),N51&gt;Discount_Threshold),"Discount above limit; ","")</f>
        <v/>
      </c>
      <c r="R51" s="15" t="str">
        <f aca="false">IF(Q51="","OK","CHECK")</f>
        <v>OK</v>
      </c>
    </row>
    <row r="52" customFormat="false" ht="15" hidden="false" customHeight="false" outlineLevel="0" collapsed="false">
      <c r="A52" s="12" t="s">
        <v>322</v>
      </c>
      <c r="B52" s="30" t="n">
        <v>45749</v>
      </c>
      <c r="C52" s="12" t="s">
        <v>260</v>
      </c>
      <c r="D52" s="12" t="s">
        <v>258</v>
      </c>
      <c r="E52" s="12" t="s">
        <v>70</v>
      </c>
      <c r="F52" s="12" t="s">
        <v>129</v>
      </c>
      <c r="G52" s="23" t="n">
        <v>40</v>
      </c>
      <c r="H52" s="22" t="n">
        <v>2125.08</v>
      </c>
      <c r="I52" s="15" t="str">
        <f aca="false">UPPER(TRIM(F52))</f>
        <v>PC-BAR-SS60</v>
      </c>
      <c r="J52" s="15" t="str">
        <f aca="false">IFERROR(INDEX(Items!$C$2:$C$500,MATCH(I52,Items!$H$2:$H$500,0)),"UNKNOWN")</f>
        <v>Barrier</v>
      </c>
      <c r="K52" s="24" t="n">
        <f aca="false">IF(J52="UNKNOWN","",INDEX(Items!$F$2:$F$500,MATCH(I52,Items!$H$2:$H$500,0)))</f>
        <v>2350</v>
      </c>
      <c r="L52" s="24" t="n">
        <f aca="false">IF(ISNUMBER(H52),G52*H52,"")</f>
        <v>85003.2</v>
      </c>
      <c r="M52" s="28" t="n">
        <f aca="false">IF(ISNUMBER(H52),G52,0)</f>
        <v>40</v>
      </c>
      <c r="N52" s="31" t="n">
        <f aca="false">IF(AND(ISNUMBER(H52),ISNUMBER(K52)),1-H52/K52,"")</f>
        <v>0.0957106382978724</v>
      </c>
      <c r="O52" s="24" t="n">
        <f aca="false">IF(J52="UNKNOWN","",INDEX(Cost_Rollup!$F$5:$F$16,MATCH(I52,Cost_Rollup!$A$5:$A$16,0)))</f>
        <v>1583.5454</v>
      </c>
      <c r="P52" s="24" t="n">
        <f aca="false">IF(AND(ISNUMBER(L52),ISNUMBER(O52)),G52*O52,"")</f>
        <v>63341.816</v>
      </c>
      <c r="Q52" s="15" t="str">
        <f aca="false">IF(H52="","Missing price; ","")&amp;IF(J52="UNKNOWN","Unknown item; ","")&amp;IF(AND(ISNUMBER(N52),N52&gt;Discount_Threshold),"Discount above limit; ","")</f>
        <v/>
      </c>
      <c r="R52" s="15" t="str">
        <f aca="false">IF(Q52="","OK","CHECK")</f>
        <v>OK</v>
      </c>
    </row>
    <row r="53" customFormat="false" ht="15" hidden="false" customHeight="false" outlineLevel="0" collapsed="false">
      <c r="A53" s="12" t="s">
        <v>323</v>
      </c>
      <c r="B53" s="30" t="n">
        <v>45749</v>
      </c>
      <c r="C53" s="12" t="s">
        <v>263</v>
      </c>
      <c r="D53" s="12" t="s">
        <v>258</v>
      </c>
      <c r="E53" s="12" t="s">
        <v>70</v>
      </c>
      <c r="F53" s="12" t="s">
        <v>110</v>
      </c>
      <c r="G53" s="23" t="n">
        <v>23</v>
      </c>
      <c r="H53" s="22" t="n">
        <v>1861.45</v>
      </c>
      <c r="I53" s="15" t="str">
        <f aca="false">UPPER(TRIM(F53))</f>
        <v>PC-RCP-1200</v>
      </c>
      <c r="J53" s="15" t="str">
        <f aca="false">IFERROR(INDEX(Items!$C$2:$C$500,MATCH(I53,Items!$H$2:$H$500,0)),"UNKNOWN")</f>
        <v>Pipe</v>
      </c>
      <c r="K53" s="24" t="n">
        <f aca="false">IF(J53="UNKNOWN","",INDEX(Items!$F$2:$F$500,MATCH(I53,Items!$H$2:$H$500,0)))</f>
        <v>1890</v>
      </c>
      <c r="L53" s="24" t="n">
        <f aca="false">IF(ISNUMBER(H53),G53*H53,"")</f>
        <v>42813.35</v>
      </c>
      <c r="M53" s="28" t="n">
        <f aca="false">IF(ISNUMBER(H53),G53,0)</f>
        <v>23</v>
      </c>
      <c r="N53" s="31" t="n">
        <f aca="false">IF(AND(ISNUMBER(H53),ISNUMBER(K53)),1-H53/K53,"")</f>
        <v>0.0151058201058201</v>
      </c>
      <c r="O53" s="24" t="n">
        <f aca="false">IF(J53="UNKNOWN","",INDEX(Cost_Rollup!$F$5:$F$16,MATCH(I53,Cost_Rollup!$A$5:$A$16,0)))</f>
        <v>1206.4054</v>
      </c>
      <c r="P53" s="24" t="n">
        <f aca="false">IF(AND(ISNUMBER(L53),ISNUMBER(O53)),G53*O53,"")</f>
        <v>27747.3242</v>
      </c>
      <c r="Q53" s="15" t="str">
        <f aca="false">IF(H53="","Missing price; ","")&amp;IF(J53="UNKNOWN","Unknown item; ","")&amp;IF(AND(ISNUMBER(N53),N53&gt;Discount_Threshold),"Discount above limit; ","")</f>
        <v/>
      </c>
      <c r="R53" s="15" t="str">
        <f aca="false">IF(Q53="","OK","CHECK")</f>
        <v>OK</v>
      </c>
    </row>
    <row r="54" customFormat="false" ht="15" hidden="false" customHeight="false" outlineLevel="0" collapsed="false">
      <c r="A54" s="12" t="s">
        <v>324</v>
      </c>
      <c r="B54" s="30" t="n">
        <v>45750</v>
      </c>
      <c r="C54" s="12" t="s">
        <v>265</v>
      </c>
      <c r="D54" s="12" t="s">
        <v>266</v>
      </c>
      <c r="E54" s="12" t="s">
        <v>70</v>
      </c>
      <c r="F54" s="12" t="s">
        <v>112</v>
      </c>
      <c r="G54" s="23" t="n">
        <v>9</v>
      </c>
      <c r="H54" s="22" t="n">
        <v>3905.08</v>
      </c>
      <c r="I54" s="15" t="str">
        <f aca="false">UPPER(TRIM(F54))</f>
        <v>PC-BOX-1812</v>
      </c>
      <c r="J54" s="15" t="str">
        <f aca="false">IFERROR(INDEX(Items!$C$2:$C$500,MATCH(I54,Items!$H$2:$H$500,0)),"UNKNOWN")</f>
        <v>Box Culvert</v>
      </c>
      <c r="K54" s="24" t="n">
        <f aca="false">IF(J54="UNKNOWN","",INDEX(Items!$F$2:$F$500,MATCH(I54,Items!$H$2:$H$500,0)))</f>
        <v>4200</v>
      </c>
      <c r="L54" s="24" t="n">
        <f aca="false">IF(ISNUMBER(H54),G54*H54,"")</f>
        <v>35145.72</v>
      </c>
      <c r="M54" s="28" t="n">
        <f aca="false">IF(ISNUMBER(H54),G54,0)</f>
        <v>9</v>
      </c>
      <c r="N54" s="31" t="n">
        <f aca="false">IF(AND(ISNUMBER(H54),ISNUMBER(K54)),1-H54/K54,"")</f>
        <v>0.0702190476190476</v>
      </c>
      <c r="O54" s="24" t="n">
        <f aca="false">IF(J54="UNKNOWN","",INDEX(Cost_Rollup!$F$5:$F$16,MATCH(I54,Cost_Rollup!$A$5:$A$16,0)))</f>
        <v>2795.3624</v>
      </c>
      <c r="P54" s="24" t="n">
        <f aca="false">IF(AND(ISNUMBER(L54),ISNUMBER(O54)),G54*O54,"")</f>
        <v>25158.2616</v>
      </c>
      <c r="Q54" s="15" t="str">
        <f aca="false">IF(H54="","Missing price; ","")&amp;IF(J54="UNKNOWN","Unknown item; ","")&amp;IF(AND(ISNUMBER(N54),N54&gt;Discount_Threshold),"Discount above limit; ","")</f>
        <v/>
      </c>
      <c r="R54" s="15" t="str">
        <f aca="false">IF(Q54="","OK","CHECK")</f>
        <v>OK</v>
      </c>
    </row>
    <row r="55" customFormat="false" ht="15" hidden="false" customHeight="false" outlineLevel="0" collapsed="false">
      <c r="A55" s="12" t="s">
        <v>325</v>
      </c>
      <c r="B55" s="30" t="n">
        <v>45752</v>
      </c>
      <c r="C55" s="12" t="s">
        <v>268</v>
      </c>
      <c r="D55" s="12" t="s">
        <v>269</v>
      </c>
      <c r="E55" s="12" t="s">
        <v>70</v>
      </c>
      <c r="F55" s="12" t="s">
        <v>125</v>
      </c>
      <c r="G55" s="23" t="n">
        <v>38</v>
      </c>
      <c r="H55" s="22" t="n">
        <v>1481.27</v>
      </c>
      <c r="I55" s="15" t="str">
        <f aca="false">UPPER(TRIM(F55))</f>
        <v>PC-BAR-F38</v>
      </c>
      <c r="J55" s="15" t="str">
        <f aca="false">IFERROR(INDEX(Items!$C$2:$C$500,MATCH(I55,Items!$H$2:$H$500,0)),"UNKNOWN")</f>
        <v>Barrier</v>
      </c>
      <c r="K55" s="24" t="n">
        <f aca="false">IF(J55="UNKNOWN","",INDEX(Items!$F$2:$F$500,MATCH(I55,Items!$H$2:$H$500,0)))</f>
        <v>1450</v>
      </c>
      <c r="L55" s="24" t="n">
        <f aca="false">IF(ISNUMBER(H55),G55*H55,"")</f>
        <v>56288.26</v>
      </c>
      <c r="M55" s="28" t="n">
        <f aca="false">IF(ISNUMBER(H55),G55,0)</f>
        <v>38</v>
      </c>
      <c r="N55" s="31" t="n">
        <f aca="false">IF(AND(ISNUMBER(H55),ISNUMBER(K55)),1-H55/K55,"")</f>
        <v>-0.0215655172413793</v>
      </c>
      <c r="O55" s="24" t="n">
        <f aca="false">IF(J55="UNKNOWN","",INDEX(Cost_Rollup!$F$5:$F$16,MATCH(I55,Cost_Rollup!$A$5:$A$16,0)))</f>
        <v>978.66328</v>
      </c>
      <c r="P55" s="24" t="n">
        <f aca="false">IF(AND(ISNUMBER(L55),ISNUMBER(O55)),G55*O55,"")</f>
        <v>37189.20464</v>
      </c>
      <c r="Q55" s="15" t="str">
        <f aca="false">IF(H55="","Missing price; ","")&amp;IF(J55="UNKNOWN","Unknown item; ","")&amp;IF(AND(ISNUMBER(N55),N55&gt;Discount_Threshold),"Discount above limit; ","")</f>
        <v/>
      </c>
      <c r="R55" s="15" t="str">
        <f aca="false">IF(Q55="","OK","CHECK")</f>
        <v>OK</v>
      </c>
    </row>
    <row r="56" customFormat="false" ht="15" hidden="false" customHeight="false" outlineLevel="0" collapsed="false">
      <c r="A56" s="12" t="s">
        <v>326</v>
      </c>
      <c r="B56" s="30" t="n">
        <v>45752</v>
      </c>
      <c r="C56" s="12" t="s">
        <v>279</v>
      </c>
      <c r="D56" s="12" t="s">
        <v>280</v>
      </c>
      <c r="E56" s="12" t="s">
        <v>147</v>
      </c>
      <c r="F56" s="12" t="s">
        <v>129</v>
      </c>
      <c r="G56" s="23" t="n">
        <v>11</v>
      </c>
      <c r="H56" s="22" t="n">
        <v>2194.83</v>
      </c>
      <c r="I56" s="15" t="str">
        <f aca="false">UPPER(TRIM(F56))</f>
        <v>PC-BAR-SS60</v>
      </c>
      <c r="J56" s="15" t="str">
        <f aca="false">IFERROR(INDEX(Items!$C$2:$C$500,MATCH(I56,Items!$H$2:$H$500,0)),"UNKNOWN")</f>
        <v>Barrier</v>
      </c>
      <c r="K56" s="24" t="n">
        <f aca="false">IF(J56="UNKNOWN","",INDEX(Items!$F$2:$F$500,MATCH(I56,Items!$H$2:$H$500,0)))</f>
        <v>2350</v>
      </c>
      <c r="L56" s="24" t="n">
        <f aca="false">IF(ISNUMBER(H56),G56*H56,"")</f>
        <v>24143.13</v>
      </c>
      <c r="M56" s="28" t="n">
        <f aca="false">IF(ISNUMBER(H56),G56,0)</f>
        <v>11</v>
      </c>
      <c r="N56" s="31" t="n">
        <f aca="false">IF(AND(ISNUMBER(H56),ISNUMBER(K56)),1-H56/K56,"")</f>
        <v>0.0660297872340426</v>
      </c>
      <c r="O56" s="24" t="n">
        <f aca="false">IF(J56="UNKNOWN","",INDEX(Cost_Rollup!$F$5:$F$16,MATCH(I56,Cost_Rollup!$A$5:$A$16,0)))</f>
        <v>1583.5454</v>
      </c>
      <c r="P56" s="24" t="n">
        <f aca="false">IF(AND(ISNUMBER(L56),ISNUMBER(O56)),G56*O56,"")</f>
        <v>17418.9994</v>
      </c>
      <c r="Q56" s="15" t="str">
        <f aca="false">IF(H56="","Missing price; ","")&amp;IF(J56="UNKNOWN","Unknown item; ","")&amp;IF(AND(ISNUMBER(N56),N56&gt;Discount_Threshold),"Discount above limit; ","")</f>
        <v/>
      </c>
      <c r="R56" s="15" t="str">
        <f aca="false">IF(Q56="","OK","CHECK")</f>
        <v>OK</v>
      </c>
    </row>
    <row r="57" customFormat="false" ht="15" hidden="false" customHeight="false" outlineLevel="0" collapsed="false">
      <c r="A57" s="12" t="s">
        <v>327</v>
      </c>
      <c r="B57" s="30" t="n">
        <v>45754</v>
      </c>
      <c r="C57" s="12" t="s">
        <v>257</v>
      </c>
      <c r="D57" s="12" t="s">
        <v>258</v>
      </c>
      <c r="E57" s="12" t="s">
        <v>70</v>
      </c>
      <c r="F57" s="12" t="s">
        <v>125</v>
      </c>
      <c r="G57" s="23" t="n">
        <v>14</v>
      </c>
      <c r="H57" s="22" t="n">
        <v>1338.28</v>
      </c>
      <c r="I57" s="15" t="str">
        <f aca="false">UPPER(TRIM(F57))</f>
        <v>PC-BAR-F38</v>
      </c>
      <c r="J57" s="15" t="str">
        <f aca="false">IFERROR(INDEX(Items!$C$2:$C$500,MATCH(I57,Items!$H$2:$H$500,0)),"UNKNOWN")</f>
        <v>Barrier</v>
      </c>
      <c r="K57" s="24" t="n">
        <f aca="false">IF(J57="UNKNOWN","",INDEX(Items!$F$2:$F$500,MATCH(I57,Items!$H$2:$H$500,0)))</f>
        <v>1450</v>
      </c>
      <c r="L57" s="24" t="n">
        <f aca="false">IF(ISNUMBER(H57),G57*H57,"")</f>
        <v>18735.92</v>
      </c>
      <c r="M57" s="28" t="n">
        <f aca="false">IF(ISNUMBER(H57),G57,0)</f>
        <v>14</v>
      </c>
      <c r="N57" s="31" t="n">
        <f aca="false">IF(AND(ISNUMBER(H57),ISNUMBER(K57)),1-H57/K57,"")</f>
        <v>0.077048275862069</v>
      </c>
      <c r="O57" s="24" t="n">
        <f aca="false">IF(J57="UNKNOWN","",INDEX(Cost_Rollup!$F$5:$F$16,MATCH(I57,Cost_Rollup!$A$5:$A$16,0)))</f>
        <v>978.66328</v>
      </c>
      <c r="P57" s="24" t="n">
        <f aca="false">IF(AND(ISNUMBER(L57),ISNUMBER(O57)),G57*O57,"")</f>
        <v>13701.28592</v>
      </c>
      <c r="Q57" s="15" t="str">
        <f aca="false">IF(H57="","Missing price; ","")&amp;IF(J57="UNKNOWN","Unknown item; ","")&amp;IF(AND(ISNUMBER(N57),N57&gt;Discount_Threshold),"Discount above limit; ","")</f>
        <v/>
      </c>
      <c r="R57" s="15" t="str">
        <f aca="false">IF(Q57="","OK","CHECK")</f>
        <v>OK</v>
      </c>
    </row>
    <row r="58" customFormat="false" ht="15" hidden="false" customHeight="false" outlineLevel="0" collapsed="false">
      <c r="A58" s="12" t="s">
        <v>328</v>
      </c>
      <c r="B58" s="30" t="n">
        <v>45755</v>
      </c>
      <c r="C58" s="12" t="s">
        <v>260</v>
      </c>
      <c r="D58" s="12" t="s">
        <v>258</v>
      </c>
      <c r="E58" s="12" t="s">
        <v>70</v>
      </c>
      <c r="F58" s="12" t="s">
        <v>108</v>
      </c>
      <c r="G58" s="23" t="n">
        <v>15</v>
      </c>
      <c r="H58" s="22" t="n">
        <v>1073.11</v>
      </c>
      <c r="I58" s="15" t="str">
        <f aca="false">UPPER(TRIM(F58))</f>
        <v>PC-RCP-0900</v>
      </c>
      <c r="J58" s="15" t="str">
        <f aca="false">IFERROR(INDEX(Items!$C$2:$C$500,MATCH(I58,Items!$H$2:$H$500,0)),"UNKNOWN")</f>
        <v>Pipe</v>
      </c>
      <c r="K58" s="24" t="n">
        <f aca="false">IF(J58="UNKNOWN","",INDEX(Items!$F$2:$F$500,MATCH(I58,Items!$H$2:$H$500,0)))</f>
        <v>1150</v>
      </c>
      <c r="L58" s="24" t="n">
        <f aca="false">IF(ISNUMBER(H58),G58*H58,"")</f>
        <v>16096.65</v>
      </c>
      <c r="M58" s="28" t="n">
        <f aca="false">IF(ISNUMBER(H58),G58,0)</f>
        <v>15</v>
      </c>
      <c r="N58" s="31" t="n">
        <f aca="false">IF(AND(ISNUMBER(H58),ISNUMBER(K58)),1-H58/K58,"")</f>
        <v>0.0668608695652175</v>
      </c>
      <c r="O58" s="24" t="n">
        <f aca="false">IF(J58="UNKNOWN","",INDEX(Cost_Rollup!$F$5:$F$16,MATCH(I58,Cost_Rollup!$A$5:$A$16,0)))</f>
        <v>750.4337265687</v>
      </c>
      <c r="P58" s="24" t="n">
        <f aca="false">IF(AND(ISNUMBER(L58),ISNUMBER(O58)),G58*O58,"")</f>
        <v>11256.5058985305</v>
      </c>
      <c r="Q58" s="15" t="str">
        <f aca="false">IF(H58="","Missing price; ","")&amp;IF(J58="UNKNOWN","Unknown item; ","")&amp;IF(AND(ISNUMBER(N58),N58&gt;Discount_Threshold),"Discount above limit; ","")</f>
        <v/>
      </c>
      <c r="R58" s="15" t="str">
        <f aca="false">IF(Q58="","OK","CHECK")</f>
        <v>OK</v>
      </c>
    </row>
    <row r="59" customFormat="false" ht="15" hidden="false" customHeight="false" outlineLevel="0" collapsed="false">
      <c r="A59" s="12" t="s">
        <v>329</v>
      </c>
      <c r="B59" s="30" t="n">
        <v>45756</v>
      </c>
      <c r="C59" s="12" t="s">
        <v>276</v>
      </c>
      <c r="D59" s="12" t="s">
        <v>277</v>
      </c>
      <c r="E59" s="12" t="s">
        <v>70</v>
      </c>
      <c r="F59" s="12" t="s">
        <v>103</v>
      </c>
      <c r="G59" s="23" t="n">
        <v>25</v>
      </c>
      <c r="H59" s="22" t="n">
        <v>640.27</v>
      </c>
      <c r="I59" s="15" t="str">
        <f aca="false">UPPER(TRIM(F59))</f>
        <v>PC-RCP-0600</v>
      </c>
      <c r="J59" s="15" t="str">
        <f aca="false">IFERROR(INDEX(Items!$C$2:$C$500,MATCH(I59,Items!$H$2:$H$500,0)),"UNKNOWN")</f>
        <v>Pipe</v>
      </c>
      <c r="K59" s="24" t="n">
        <f aca="false">IF(J59="UNKNOWN","",INDEX(Items!$F$2:$F$500,MATCH(I59,Items!$H$2:$H$500,0)))</f>
        <v>640</v>
      </c>
      <c r="L59" s="24" t="n">
        <f aca="false">IF(ISNUMBER(H59),G59*H59,"")</f>
        <v>16006.75</v>
      </c>
      <c r="M59" s="28" t="n">
        <f aca="false">IF(ISNUMBER(H59),G59,0)</f>
        <v>25</v>
      </c>
      <c r="N59" s="31" t="n">
        <f aca="false">IF(AND(ISNUMBER(H59),ISNUMBER(K59)),1-H59/K59,"")</f>
        <v>-0.000421875000000016</v>
      </c>
      <c r="O59" s="24" t="n">
        <f aca="false">IF(J59="UNKNOWN","",INDEX(Cost_Rollup!$F$5:$F$16,MATCH(I59,Cost_Rollup!$A$5:$A$16,0)))</f>
        <v>429.94832</v>
      </c>
      <c r="P59" s="24" t="n">
        <f aca="false">IF(AND(ISNUMBER(L59),ISNUMBER(O59)),G59*O59,"")</f>
        <v>10748.708</v>
      </c>
      <c r="Q59" s="15" t="str">
        <f aca="false">IF(H59="","Missing price; ","")&amp;IF(J59="UNKNOWN","Unknown item; ","")&amp;IF(AND(ISNUMBER(N59),N59&gt;Discount_Threshold),"Discount above limit; ","")</f>
        <v/>
      </c>
      <c r="R59" s="15" t="str">
        <f aca="false">IF(Q59="","OK","CHECK")</f>
        <v>OK</v>
      </c>
    </row>
    <row r="60" customFormat="false" ht="15" hidden="false" customHeight="false" outlineLevel="0" collapsed="false">
      <c r="A60" s="12" t="s">
        <v>330</v>
      </c>
      <c r="B60" s="30" t="n">
        <v>45757</v>
      </c>
      <c r="C60" s="12" t="s">
        <v>279</v>
      </c>
      <c r="D60" s="12" t="s">
        <v>280</v>
      </c>
      <c r="E60" s="12" t="s">
        <v>147</v>
      </c>
      <c r="F60" s="12" t="s">
        <v>112</v>
      </c>
      <c r="G60" s="23" t="n">
        <v>3</v>
      </c>
      <c r="H60" s="22" t="n">
        <v>4125.96</v>
      </c>
      <c r="I60" s="15" t="str">
        <f aca="false">UPPER(TRIM(F60))</f>
        <v>PC-BOX-1812</v>
      </c>
      <c r="J60" s="15" t="str">
        <f aca="false">IFERROR(INDEX(Items!$C$2:$C$500,MATCH(I60,Items!$H$2:$H$500,0)),"UNKNOWN")</f>
        <v>Box Culvert</v>
      </c>
      <c r="K60" s="24" t="n">
        <f aca="false">IF(J60="UNKNOWN","",INDEX(Items!$F$2:$F$500,MATCH(I60,Items!$H$2:$H$500,0)))</f>
        <v>4200</v>
      </c>
      <c r="L60" s="24" t="n">
        <f aca="false">IF(ISNUMBER(H60),G60*H60,"")</f>
        <v>12377.88</v>
      </c>
      <c r="M60" s="28" t="n">
        <f aca="false">IF(ISNUMBER(H60),G60,0)</f>
        <v>3</v>
      </c>
      <c r="N60" s="31" t="n">
        <f aca="false">IF(AND(ISNUMBER(H60),ISNUMBER(K60)),1-H60/K60,"")</f>
        <v>0.0176285714285714</v>
      </c>
      <c r="O60" s="24" t="n">
        <f aca="false">IF(J60="UNKNOWN","",INDEX(Cost_Rollup!$F$5:$F$16,MATCH(I60,Cost_Rollup!$A$5:$A$16,0)))</f>
        <v>2795.3624</v>
      </c>
      <c r="P60" s="24" t="n">
        <f aca="false">IF(AND(ISNUMBER(L60),ISNUMBER(O60)),G60*O60,"")</f>
        <v>8386.0872</v>
      </c>
      <c r="Q60" s="15" t="str">
        <f aca="false">IF(H60="","Missing price; ","")&amp;IF(J60="UNKNOWN","Unknown item; ","")&amp;IF(AND(ISNUMBER(N60),N60&gt;Discount_Threshold),"Discount above limit; ","")</f>
        <v/>
      </c>
      <c r="R60" s="15" t="str">
        <f aca="false">IF(Q60="","OK","CHECK")</f>
        <v>OK</v>
      </c>
    </row>
    <row r="61" customFormat="false" ht="15" hidden="false" customHeight="false" outlineLevel="0" collapsed="false">
      <c r="A61" s="12" t="s">
        <v>331</v>
      </c>
      <c r="B61" s="30" t="n">
        <v>45759</v>
      </c>
      <c r="C61" s="12" t="s">
        <v>292</v>
      </c>
      <c r="D61" s="12" t="s">
        <v>277</v>
      </c>
      <c r="E61" s="12" t="s">
        <v>70</v>
      </c>
      <c r="F61" s="12" t="s">
        <v>131</v>
      </c>
      <c r="G61" s="23" t="n">
        <v>250</v>
      </c>
      <c r="H61" s="22" t="n">
        <v>108.74</v>
      </c>
      <c r="I61" s="15" t="str">
        <f aca="false">UPPER(TRIM(F61))</f>
        <v>PC-HC-200</v>
      </c>
      <c r="J61" s="15" t="str">
        <f aca="false">IFERROR(INDEX(Items!$C$2:$C$500,MATCH(I61,Items!$H$2:$H$500,0)),"UNKNOWN")</f>
        <v>Slab</v>
      </c>
      <c r="K61" s="24" t="n">
        <f aca="false">IF(J61="UNKNOWN","",INDEX(Items!$F$2:$F$500,MATCH(I61,Items!$H$2:$H$500,0)))</f>
        <v>118</v>
      </c>
      <c r="L61" s="24" t="n">
        <f aca="false">IF(ISNUMBER(H61),G61*H61,"")</f>
        <v>27185</v>
      </c>
      <c r="M61" s="28" t="n">
        <f aca="false">IF(ISNUMBER(H61),G61,0)</f>
        <v>250</v>
      </c>
      <c r="N61" s="31" t="n">
        <f aca="false">IF(AND(ISNUMBER(H61),ISNUMBER(K61)),1-H61/K61,"")</f>
        <v>0.0784745762711865</v>
      </c>
      <c r="O61" s="24" t="n">
        <f aca="false">IF(J61="UNKNOWN","",INDEX(Cost_Rollup!$F$5:$F$16,MATCH(I61,Cost_Rollup!$A$5:$A$16,0)))</f>
        <v>78.89382</v>
      </c>
      <c r="P61" s="24" t="n">
        <f aca="false">IF(AND(ISNUMBER(L61),ISNUMBER(O61)),G61*O61,"")</f>
        <v>19723.455</v>
      </c>
      <c r="Q61" s="15" t="str">
        <f aca="false">IF(H61="","Missing price; ","")&amp;IF(J61="UNKNOWN","Unknown item; ","")&amp;IF(AND(ISNUMBER(N61),N61&gt;Discount_Threshold),"Discount above limit; ","")</f>
        <v/>
      </c>
      <c r="R61" s="15" t="str">
        <f aca="false">IF(Q61="","OK","CHECK")</f>
        <v>OK</v>
      </c>
    </row>
    <row r="62" customFormat="false" ht="15" hidden="false" customHeight="false" outlineLevel="0" collapsed="false">
      <c r="A62" s="12" t="s">
        <v>332</v>
      </c>
      <c r="B62" s="30" t="n">
        <v>45760</v>
      </c>
      <c r="C62" s="12" t="s">
        <v>260</v>
      </c>
      <c r="D62" s="12" t="s">
        <v>258</v>
      </c>
      <c r="E62" s="12" t="s">
        <v>70</v>
      </c>
      <c r="F62" s="12" t="s">
        <v>120</v>
      </c>
      <c r="G62" s="23" t="n">
        <v>7</v>
      </c>
      <c r="H62" s="22" t="n">
        <v>482.52</v>
      </c>
      <c r="I62" s="15" t="str">
        <f aca="false">UPPER(TRIM(F62))</f>
        <v>PC-MH-1200R</v>
      </c>
      <c r="J62" s="15" t="str">
        <f aca="false">IFERROR(INDEX(Items!$C$2:$C$500,MATCH(I62,Items!$H$2:$H$500,0)),"UNKNOWN")</f>
        <v>Manhole</v>
      </c>
      <c r="K62" s="24" t="n">
        <f aca="false">IF(J62="UNKNOWN","",INDEX(Items!$F$2:$F$500,MATCH(I62,Items!$H$2:$H$500,0)))</f>
        <v>520</v>
      </c>
      <c r="L62" s="24" t="n">
        <f aca="false">IF(ISNUMBER(H62),G62*H62,"")</f>
        <v>3377.64</v>
      </c>
      <c r="M62" s="28" t="n">
        <f aca="false">IF(ISNUMBER(H62),G62,0)</f>
        <v>7</v>
      </c>
      <c r="N62" s="31" t="n">
        <f aca="false">IF(AND(ISNUMBER(H62),ISNUMBER(K62)),1-H62/K62,"")</f>
        <v>0.0720769230769232</v>
      </c>
      <c r="O62" s="24" t="n">
        <f aca="false">IF(J62="UNKNOWN","",INDEX(Cost_Rollup!$F$5:$F$16,MATCH(I62,Cost_Rollup!$A$5:$A$16,0)))</f>
        <v>381.98428</v>
      </c>
      <c r="P62" s="24" t="n">
        <f aca="false">IF(AND(ISNUMBER(L62),ISNUMBER(O62)),G62*O62,"")</f>
        <v>2673.88996</v>
      </c>
      <c r="Q62" s="15" t="str">
        <f aca="false">IF(H62="","Missing price; ","")&amp;IF(J62="UNKNOWN","Unknown item; ","")&amp;IF(AND(ISNUMBER(N62),N62&gt;Discount_Threshold),"Discount above limit; ","")</f>
        <v/>
      </c>
      <c r="R62" s="15" t="str">
        <f aca="false">IF(Q62="","OK","CHECK")</f>
        <v>OK</v>
      </c>
    </row>
    <row r="63" customFormat="false" ht="15" hidden="false" customHeight="false" outlineLevel="0" collapsed="false">
      <c r="A63" s="12" t="s">
        <v>333</v>
      </c>
      <c r="B63" s="30" t="n">
        <v>45760</v>
      </c>
      <c r="C63" s="12" t="s">
        <v>279</v>
      </c>
      <c r="D63" s="12" t="s">
        <v>280</v>
      </c>
      <c r="E63" s="12" t="s">
        <v>147</v>
      </c>
      <c r="F63" s="12" t="s">
        <v>103</v>
      </c>
      <c r="G63" s="23" t="n">
        <v>13</v>
      </c>
      <c r="H63" s="22" t="n">
        <v>584.16</v>
      </c>
      <c r="I63" s="15" t="str">
        <f aca="false">UPPER(TRIM(F63))</f>
        <v>PC-RCP-0600</v>
      </c>
      <c r="J63" s="15" t="str">
        <f aca="false">IFERROR(INDEX(Items!$C$2:$C$500,MATCH(I63,Items!$H$2:$H$500,0)),"UNKNOWN")</f>
        <v>Pipe</v>
      </c>
      <c r="K63" s="24" t="n">
        <f aca="false">IF(J63="UNKNOWN","",INDEX(Items!$F$2:$F$500,MATCH(I63,Items!$H$2:$H$500,0)))</f>
        <v>640</v>
      </c>
      <c r="L63" s="24" t="n">
        <f aca="false">IF(ISNUMBER(H63),G63*H63,"")</f>
        <v>7594.08</v>
      </c>
      <c r="M63" s="28" t="n">
        <f aca="false">IF(ISNUMBER(H63),G63,0)</f>
        <v>13</v>
      </c>
      <c r="N63" s="31" t="n">
        <f aca="false">IF(AND(ISNUMBER(H63),ISNUMBER(K63)),1-H63/K63,"")</f>
        <v>0.0872500000000001</v>
      </c>
      <c r="O63" s="24" t="n">
        <f aca="false">IF(J63="UNKNOWN","",INDEX(Cost_Rollup!$F$5:$F$16,MATCH(I63,Cost_Rollup!$A$5:$A$16,0)))</f>
        <v>429.94832</v>
      </c>
      <c r="P63" s="24" t="n">
        <f aca="false">IF(AND(ISNUMBER(L63),ISNUMBER(O63)),G63*O63,"")</f>
        <v>5589.32816</v>
      </c>
      <c r="Q63" s="15" t="str">
        <f aca="false">IF(H63="","Missing price; ","")&amp;IF(J63="UNKNOWN","Unknown item; ","")&amp;IF(AND(ISNUMBER(N63),N63&gt;Discount_Threshold),"Discount above limit; ","")</f>
        <v/>
      </c>
      <c r="R63" s="15" t="str">
        <f aca="false">IF(Q63="","OK","CHECK")</f>
        <v>OK</v>
      </c>
    </row>
    <row r="64" customFormat="false" ht="15" hidden="false" customHeight="false" outlineLevel="0" collapsed="false">
      <c r="A64" s="12" t="s">
        <v>334</v>
      </c>
      <c r="B64" s="30" t="n">
        <v>45760</v>
      </c>
      <c r="C64" s="12" t="s">
        <v>257</v>
      </c>
      <c r="D64" s="12" t="s">
        <v>258</v>
      </c>
      <c r="E64" s="12" t="s">
        <v>70</v>
      </c>
      <c r="F64" s="12" t="s">
        <v>103</v>
      </c>
      <c r="G64" s="23" t="n">
        <v>21</v>
      </c>
      <c r="H64" s="22" t="n">
        <v>583.58</v>
      </c>
      <c r="I64" s="15" t="str">
        <f aca="false">UPPER(TRIM(F64))</f>
        <v>PC-RCP-0600</v>
      </c>
      <c r="J64" s="15" t="str">
        <f aca="false">IFERROR(INDEX(Items!$C$2:$C$500,MATCH(I64,Items!$H$2:$H$500,0)),"UNKNOWN")</f>
        <v>Pipe</v>
      </c>
      <c r="K64" s="24" t="n">
        <f aca="false">IF(J64="UNKNOWN","",INDEX(Items!$F$2:$F$500,MATCH(I64,Items!$H$2:$H$500,0)))</f>
        <v>640</v>
      </c>
      <c r="L64" s="24" t="n">
        <f aca="false">IF(ISNUMBER(H64),G64*H64,"")</f>
        <v>12255.18</v>
      </c>
      <c r="M64" s="28" t="n">
        <f aca="false">IF(ISNUMBER(H64),G64,0)</f>
        <v>21</v>
      </c>
      <c r="N64" s="31" t="n">
        <f aca="false">IF(AND(ISNUMBER(H64),ISNUMBER(K64)),1-H64/K64,"")</f>
        <v>0.0881562499999999</v>
      </c>
      <c r="O64" s="24" t="n">
        <f aca="false">IF(J64="UNKNOWN","",INDEX(Cost_Rollup!$F$5:$F$16,MATCH(I64,Cost_Rollup!$A$5:$A$16,0)))</f>
        <v>429.94832</v>
      </c>
      <c r="P64" s="24" t="n">
        <f aca="false">IF(AND(ISNUMBER(L64),ISNUMBER(O64)),G64*O64,"")</f>
        <v>9028.91472</v>
      </c>
      <c r="Q64" s="15" t="str">
        <f aca="false">IF(H64="","Missing price; ","")&amp;IF(J64="UNKNOWN","Unknown item; ","")&amp;IF(AND(ISNUMBER(N64),N64&gt;Discount_Threshold),"Discount above limit; ","")</f>
        <v/>
      </c>
      <c r="R64" s="15" t="str">
        <f aca="false">IF(Q64="","OK","CHECK")</f>
        <v>OK</v>
      </c>
    </row>
    <row r="65" customFormat="false" ht="15" hidden="false" customHeight="false" outlineLevel="0" collapsed="false">
      <c r="A65" s="12" t="s">
        <v>335</v>
      </c>
      <c r="B65" s="30" t="n">
        <v>45765</v>
      </c>
      <c r="C65" s="12" t="s">
        <v>276</v>
      </c>
      <c r="D65" s="12" t="s">
        <v>277</v>
      </c>
      <c r="E65" s="12" t="s">
        <v>70</v>
      </c>
      <c r="F65" s="12" t="s">
        <v>118</v>
      </c>
      <c r="G65" s="23" t="n">
        <v>7</v>
      </c>
      <c r="H65" s="22" t="n">
        <v>1164.42</v>
      </c>
      <c r="I65" s="15" t="str">
        <f aca="false">UPPER(TRIM(F65))</f>
        <v>PC-MH-1200B</v>
      </c>
      <c r="J65" s="15" t="str">
        <f aca="false">IFERROR(INDEX(Items!$C$2:$C$500,MATCH(I65,Items!$H$2:$H$500,0)),"UNKNOWN")</f>
        <v>Manhole</v>
      </c>
      <c r="K65" s="24" t="n">
        <f aca="false">IF(J65="UNKNOWN","",INDEX(Items!$F$2:$F$500,MATCH(I65,Items!$H$2:$H$500,0)))</f>
        <v>1240</v>
      </c>
      <c r="L65" s="24" t="n">
        <f aca="false">IF(ISNUMBER(H65),G65*H65,"")</f>
        <v>8150.94</v>
      </c>
      <c r="M65" s="28" t="n">
        <f aca="false">IF(ISNUMBER(H65),G65,0)</f>
        <v>7</v>
      </c>
      <c r="N65" s="31" t="n">
        <f aca="false">IF(AND(ISNUMBER(H65),ISNUMBER(K65)),1-H65/K65,"")</f>
        <v>0.0609516129032257</v>
      </c>
      <c r="O65" s="24" t="n">
        <f aca="false">IF(J65="UNKNOWN","",INDEX(Cost_Rollup!$F$5:$F$16,MATCH(I65,Cost_Rollup!$A$5:$A$16,0)))</f>
        <v>753.4208</v>
      </c>
      <c r="P65" s="24" t="n">
        <f aca="false">IF(AND(ISNUMBER(L65),ISNUMBER(O65)),G65*O65,"")</f>
        <v>5273.9456</v>
      </c>
      <c r="Q65" s="15" t="str">
        <f aca="false">IF(H65="","Missing price; ","")&amp;IF(J65="UNKNOWN","Unknown item; ","")&amp;IF(AND(ISNUMBER(N65),N65&gt;Discount_Threshold),"Discount above limit; ","")</f>
        <v/>
      </c>
      <c r="R65" s="15" t="str">
        <f aca="false">IF(Q65="","OK","CHECK")</f>
        <v>OK</v>
      </c>
    </row>
    <row r="66" customFormat="false" ht="15" hidden="false" customHeight="false" outlineLevel="0" collapsed="false">
      <c r="A66" s="12" t="s">
        <v>336</v>
      </c>
      <c r="B66" s="30" t="n">
        <v>45767</v>
      </c>
      <c r="C66" s="12" t="s">
        <v>273</v>
      </c>
      <c r="D66" s="12" t="s">
        <v>274</v>
      </c>
      <c r="E66" s="12" t="s">
        <v>147</v>
      </c>
      <c r="F66" s="12" t="s">
        <v>112</v>
      </c>
      <c r="G66" s="23" t="n">
        <v>8</v>
      </c>
      <c r="H66" s="22" t="n">
        <v>3797.94</v>
      </c>
      <c r="I66" s="15" t="str">
        <f aca="false">UPPER(TRIM(F66))</f>
        <v>PC-BOX-1812</v>
      </c>
      <c r="J66" s="15" t="str">
        <f aca="false">IFERROR(INDEX(Items!$C$2:$C$500,MATCH(I66,Items!$H$2:$H$500,0)),"UNKNOWN")</f>
        <v>Box Culvert</v>
      </c>
      <c r="K66" s="24" t="n">
        <f aca="false">IF(J66="UNKNOWN","",INDEX(Items!$F$2:$F$500,MATCH(I66,Items!$H$2:$H$500,0)))</f>
        <v>4200</v>
      </c>
      <c r="L66" s="24" t="n">
        <f aca="false">IF(ISNUMBER(H66),G66*H66,"")</f>
        <v>30383.52</v>
      </c>
      <c r="M66" s="28" t="n">
        <f aca="false">IF(ISNUMBER(H66),G66,0)</f>
        <v>8</v>
      </c>
      <c r="N66" s="31" t="n">
        <f aca="false">IF(AND(ISNUMBER(H66),ISNUMBER(K66)),1-H66/K66,"")</f>
        <v>0.0957285714285714</v>
      </c>
      <c r="O66" s="24" t="n">
        <f aca="false">IF(J66="UNKNOWN","",INDEX(Cost_Rollup!$F$5:$F$16,MATCH(I66,Cost_Rollup!$A$5:$A$16,0)))</f>
        <v>2795.3624</v>
      </c>
      <c r="P66" s="24" t="n">
        <f aca="false">IF(AND(ISNUMBER(L66),ISNUMBER(O66)),G66*O66,"")</f>
        <v>22362.8992</v>
      </c>
      <c r="Q66" s="15" t="str">
        <f aca="false">IF(H66="","Missing price; ","")&amp;IF(J66="UNKNOWN","Unknown item; ","")&amp;IF(AND(ISNUMBER(N66),N66&gt;Discount_Threshold),"Discount above limit; ","")</f>
        <v/>
      </c>
      <c r="R66" s="15" t="str">
        <f aca="false">IF(Q66="","OK","CHECK")</f>
        <v>OK</v>
      </c>
    </row>
    <row r="67" customFormat="false" ht="15" hidden="false" customHeight="false" outlineLevel="0" collapsed="false">
      <c r="A67" s="12" t="s">
        <v>337</v>
      </c>
      <c r="B67" s="30" t="n">
        <v>45770</v>
      </c>
      <c r="C67" s="12" t="s">
        <v>279</v>
      </c>
      <c r="D67" s="12" t="s">
        <v>280</v>
      </c>
      <c r="E67" s="12" t="s">
        <v>147</v>
      </c>
      <c r="F67" s="12" t="s">
        <v>125</v>
      </c>
      <c r="G67" s="23" t="n">
        <v>22</v>
      </c>
      <c r="H67" s="22" t="n">
        <v>1431.43</v>
      </c>
      <c r="I67" s="15" t="str">
        <f aca="false">UPPER(TRIM(F67))</f>
        <v>PC-BAR-F38</v>
      </c>
      <c r="J67" s="15" t="str">
        <f aca="false">IFERROR(INDEX(Items!$C$2:$C$500,MATCH(I67,Items!$H$2:$H$500,0)),"UNKNOWN")</f>
        <v>Barrier</v>
      </c>
      <c r="K67" s="24" t="n">
        <f aca="false">IF(J67="UNKNOWN","",INDEX(Items!$F$2:$F$500,MATCH(I67,Items!$H$2:$H$500,0)))</f>
        <v>1450</v>
      </c>
      <c r="L67" s="24" t="n">
        <f aca="false">IF(ISNUMBER(H67),G67*H67,"")</f>
        <v>31491.46</v>
      </c>
      <c r="M67" s="28" t="n">
        <f aca="false">IF(ISNUMBER(H67),G67,0)</f>
        <v>22</v>
      </c>
      <c r="N67" s="31" t="n">
        <f aca="false">IF(AND(ISNUMBER(H67),ISNUMBER(K67)),1-H67/K67,"")</f>
        <v>0.0128068965517241</v>
      </c>
      <c r="O67" s="24" t="n">
        <f aca="false">IF(J67="UNKNOWN","",INDEX(Cost_Rollup!$F$5:$F$16,MATCH(I67,Cost_Rollup!$A$5:$A$16,0)))</f>
        <v>978.66328</v>
      </c>
      <c r="P67" s="24" t="n">
        <f aca="false">IF(AND(ISNUMBER(L67),ISNUMBER(O67)),G67*O67,"")</f>
        <v>21530.59216</v>
      </c>
      <c r="Q67" s="15" t="str">
        <f aca="false">IF(H67="","Missing price; ","")&amp;IF(J67="UNKNOWN","Unknown item; ","")&amp;IF(AND(ISNUMBER(N67),N67&gt;Discount_Threshold),"Discount above limit; ","")</f>
        <v/>
      </c>
      <c r="R67" s="15" t="str">
        <f aca="false">IF(Q67="","OK","CHECK")</f>
        <v>OK</v>
      </c>
    </row>
    <row r="68" customFormat="false" ht="15" hidden="false" customHeight="false" outlineLevel="0" collapsed="false">
      <c r="A68" s="12" t="s">
        <v>338</v>
      </c>
      <c r="B68" s="30" t="n">
        <v>45771</v>
      </c>
      <c r="C68" s="12" t="s">
        <v>265</v>
      </c>
      <c r="D68" s="12" t="s">
        <v>266</v>
      </c>
      <c r="E68" s="12" t="s">
        <v>70</v>
      </c>
      <c r="F68" s="12" t="s">
        <v>108</v>
      </c>
      <c r="G68" s="23" t="n">
        <v>28</v>
      </c>
      <c r="H68" s="22" t="n">
        <v>1047.69</v>
      </c>
      <c r="I68" s="15" t="str">
        <f aca="false">UPPER(TRIM(F68))</f>
        <v>PC-RCP-0900</v>
      </c>
      <c r="J68" s="15" t="str">
        <f aca="false">IFERROR(INDEX(Items!$C$2:$C$500,MATCH(I68,Items!$H$2:$H$500,0)),"UNKNOWN")</f>
        <v>Pipe</v>
      </c>
      <c r="K68" s="24" t="n">
        <f aca="false">IF(J68="UNKNOWN","",INDEX(Items!$F$2:$F$500,MATCH(I68,Items!$H$2:$H$500,0)))</f>
        <v>1150</v>
      </c>
      <c r="L68" s="24" t="n">
        <f aca="false">IF(ISNUMBER(H68),G68*H68,"")</f>
        <v>29335.32</v>
      </c>
      <c r="M68" s="28" t="n">
        <f aca="false">IF(ISNUMBER(H68),G68,0)</f>
        <v>28</v>
      </c>
      <c r="N68" s="31" t="n">
        <f aca="false">IF(AND(ISNUMBER(H68),ISNUMBER(K68)),1-H68/K68,"")</f>
        <v>0.0889652173913043</v>
      </c>
      <c r="O68" s="24" t="n">
        <f aca="false">IF(J68="UNKNOWN","",INDEX(Cost_Rollup!$F$5:$F$16,MATCH(I68,Cost_Rollup!$A$5:$A$16,0)))</f>
        <v>750.4337265687</v>
      </c>
      <c r="P68" s="24" t="n">
        <f aca="false">IF(AND(ISNUMBER(L68),ISNUMBER(O68)),G68*O68,"")</f>
        <v>21012.1443439236</v>
      </c>
      <c r="Q68" s="15" t="str">
        <f aca="false">IF(H68="","Missing price; ","")&amp;IF(J68="UNKNOWN","Unknown item; ","")&amp;IF(AND(ISNUMBER(N68),N68&gt;Discount_Threshold),"Discount above limit; ","")</f>
        <v/>
      </c>
      <c r="R68" s="15" t="str">
        <f aca="false">IF(Q68="","OK","CHECK")</f>
        <v>OK</v>
      </c>
    </row>
    <row r="69" customFormat="false" ht="15" hidden="false" customHeight="false" outlineLevel="0" collapsed="false">
      <c r="A69" s="12" t="s">
        <v>339</v>
      </c>
      <c r="B69" s="30" t="n">
        <v>45772</v>
      </c>
      <c r="C69" s="12" t="s">
        <v>268</v>
      </c>
      <c r="D69" s="12" t="s">
        <v>269</v>
      </c>
      <c r="E69" s="12" t="s">
        <v>70</v>
      </c>
      <c r="F69" s="12" t="s">
        <v>135</v>
      </c>
      <c r="G69" s="23" t="n">
        <v>246</v>
      </c>
      <c r="H69" s="22" t="n">
        <v>126.68</v>
      </c>
      <c r="I69" s="15" t="str">
        <f aca="false">UPPER(TRIM(F69))</f>
        <v>PC-HC-250</v>
      </c>
      <c r="J69" s="15" t="str">
        <f aca="false">IFERROR(INDEX(Items!$C$2:$C$500,MATCH(I69,Items!$H$2:$H$500,0)),"UNKNOWN")</f>
        <v>Slab</v>
      </c>
      <c r="K69" s="24" t="n">
        <f aca="false">IF(J69="UNKNOWN","",INDEX(Items!$F$2:$F$500,MATCH(I69,Items!$H$2:$H$500,0)))</f>
        <v>136</v>
      </c>
      <c r="L69" s="24" t="n">
        <f aca="false">IF(ISNUMBER(H69),G69*H69,"")</f>
        <v>31163.28</v>
      </c>
      <c r="M69" s="28" t="n">
        <f aca="false">IF(ISNUMBER(H69),G69,0)</f>
        <v>246</v>
      </c>
      <c r="N69" s="31" t="n">
        <f aca="false">IF(AND(ISNUMBER(H69),ISNUMBER(K69)),1-H69/K69,"")</f>
        <v>0.0685294117647058</v>
      </c>
      <c r="O69" s="24" t="n">
        <f aca="false">IF(J69="UNKNOWN","",INDEX(Cost_Rollup!$F$5:$F$16,MATCH(I69,Cost_Rollup!$A$5:$A$16,0)))</f>
        <v>92.94024</v>
      </c>
      <c r="P69" s="24" t="n">
        <f aca="false">IF(AND(ISNUMBER(L69),ISNUMBER(O69)),G69*O69,"")</f>
        <v>22863.29904</v>
      </c>
      <c r="Q69" s="15" t="str">
        <f aca="false">IF(H69="","Missing price; ","")&amp;IF(J69="UNKNOWN","Unknown item; ","")&amp;IF(AND(ISNUMBER(N69),N69&gt;Discount_Threshold),"Discount above limit; ","")</f>
        <v/>
      </c>
      <c r="R69" s="15" t="str">
        <f aca="false">IF(Q69="","OK","CHECK")</f>
        <v>OK</v>
      </c>
    </row>
    <row r="70" customFormat="false" ht="15" hidden="false" customHeight="false" outlineLevel="0" collapsed="false">
      <c r="A70" s="12" t="s">
        <v>340</v>
      </c>
      <c r="B70" s="30" t="n">
        <v>45773</v>
      </c>
      <c r="C70" s="12" t="s">
        <v>260</v>
      </c>
      <c r="D70" s="12" t="s">
        <v>258</v>
      </c>
      <c r="E70" s="12" t="s">
        <v>70</v>
      </c>
      <c r="F70" s="12" t="s">
        <v>129</v>
      </c>
      <c r="G70" s="23" t="n">
        <v>22</v>
      </c>
      <c r="H70" s="22" t="n">
        <v>2297.86</v>
      </c>
      <c r="I70" s="15" t="str">
        <f aca="false">UPPER(TRIM(F70))</f>
        <v>PC-BAR-SS60</v>
      </c>
      <c r="J70" s="15" t="str">
        <f aca="false">IFERROR(INDEX(Items!$C$2:$C$500,MATCH(I70,Items!$H$2:$H$500,0)),"UNKNOWN")</f>
        <v>Barrier</v>
      </c>
      <c r="K70" s="24" t="n">
        <f aca="false">IF(J70="UNKNOWN","",INDEX(Items!$F$2:$F$500,MATCH(I70,Items!$H$2:$H$500,0)))</f>
        <v>2350</v>
      </c>
      <c r="L70" s="24" t="n">
        <f aca="false">IF(ISNUMBER(H70),G70*H70,"")</f>
        <v>50552.92</v>
      </c>
      <c r="M70" s="28" t="n">
        <f aca="false">IF(ISNUMBER(H70),G70,0)</f>
        <v>22</v>
      </c>
      <c r="N70" s="31" t="n">
        <f aca="false">IF(AND(ISNUMBER(H70),ISNUMBER(K70)),1-H70/K70,"")</f>
        <v>0.0221872340425532</v>
      </c>
      <c r="O70" s="24" t="n">
        <f aca="false">IF(J70="UNKNOWN","",INDEX(Cost_Rollup!$F$5:$F$16,MATCH(I70,Cost_Rollup!$A$5:$A$16,0)))</f>
        <v>1583.5454</v>
      </c>
      <c r="P70" s="24" t="n">
        <f aca="false">IF(AND(ISNUMBER(L70),ISNUMBER(O70)),G70*O70,"")</f>
        <v>34837.9988</v>
      </c>
      <c r="Q70" s="15" t="str">
        <f aca="false">IF(H70="","Missing price; ","")&amp;IF(J70="UNKNOWN","Unknown item; ","")&amp;IF(AND(ISNUMBER(N70),N70&gt;Discount_Threshold),"Discount above limit; ","")</f>
        <v/>
      </c>
      <c r="R70" s="15" t="str">
        <f aca="false">IF(Q70="","OK","CHECK")</f>
        <v>OK</v>
      </c>
    </row>
    <row r="71" customFormat="false" ht="15" hidden="false" customHeight="false" outlineLevel="0" collapsed="false">
      <c r="A71" s="12" t="s">
        <v>341</v>
      </c>
      <c r="B71" s="30" t="n">
        <v>45773</v>
      </c>
      <c r="C71" s="12" t="s">
        <v>285</v>
      </c>
      <c r="D71" s="12" t="s">
        <v>266</v>
      </c>
      <c r="E71" s="12" t="s">
        <v>70</v>
      </c>
      <c r="F71" s="12" t="s">
        <v>122</v>
      </c>
      <c r="G71" s="23" t="n">
        <v>8</v>
      </c>
      <c r="H71" s="22" t="n">
        <v>715.58</v>
      </c>
      <c r="I71" s="15" t="str">
        <f aca="false">UPPER(TRIM(F71))</f>
        <v>PC-CB-0600</v>
      </c>
      <c r="J71" s="15" t="str">
        <f aca="false">IFERROR(INDEX(Items!$C$2:$C$500,MATCH(I71,Items!$H$2:$H$500,0)),"UNKNOWN")</f>
        <v>Catch Basin</v>
      </c>
      <c r="K71" s="24" t="n">
        <f aca="false">IF(J71="UNKNOWN","",INDEX(Items!$F$2:$F$500,MATCH(I71,Items!$H$2:$H$500,0)))</f>
        <v>690</v>
      </c>
      <c r="L71" s="24" t="n">
        <f aca="false">IF(ISNUMBER(H71),G71*H71,"")</f>
        <v>5724.64</v>
      </c>
      <c r="M71" s="28" t="n">
        <f aca="false">IF(ISNUMBER(H71),G71,0)</f>
        <v>8</v>
      </c>
      <c r="N71" s="31" t="n">
        <f aca="false">IF(AND(ISNUMBER(H71),ISNUMBER(K71)),1-H71/K71,"")</f>
        <v>-0.0370724637681159</v>
      </c>
      <c r="O71" s="24" t="n">
        <f aca="false">IF(J71="UNKNOWN","",INDEX(Cost_Rollup!$F$5:$F$16,MATCH(I71,Cost_Rollup!$A$5:$A$16,0)))</f>
        <v>471.0488</v>
      </c>
      <c r="P71" s="24" t="n">
        <f aca="false">IF(AND(ISNUMBER(L71),ISNUMBER(O71)),G71*O71,"")</f>
        <v>3768.3904</v>
      </c>
      <c r="Q71" s="15" t="str">
        <f aca="false">IF(H71="","Missing price; ","")&amp;IF(J71="UNKNOWN","Unknown item; ","")&amp;IF(AND(ISNUMBER(N71),N71&gt;Discount_Threshold),"Discount above limit; ","")</f>
        <v/>
      </c>
      <c r="R71" s="15" t="str">
        <f aca="false">IF(Q71="","OK","CHECK")</f>
        <v>OK</v>
      </c>
    </row>
    <row r="72" customFormat="false" ht="15" hidden="false" customHeight="false" outlineLevel="0" collapsed="false">
      <c r="A72" s="12" t="s">
        <v>342</v>
      </c>
      <c r="B72" s="30" t="n">
        <v>45774</v>
      </c>
      <c r="C72" s="12" t="s">
        <v>273</v>
      </c>
      <c r="D72" s="12" t="s">
        <v>274</v>
      </c>
      <c r="E72" s="12" t="s">
        <v>147</v>
      </c>
      <c r="F72" s="12" t="s">
        <v>135</v>
      </c>
      <c r="G72" s="23" t="n">
        <v>57</v>
      </c>
      <c r="H72" s="22" t="n">
        <v>132.48</v>
      </c>
      <c r="I72" s="15" t="str">
        <f aca="false">UPPER(TRIM(F72))</f>
        <v>PC-HC-250</v>
      </c>
      <c r="J72" s="15" t="str">
        <f aca="false">IFERROR(INDEX(Items!$C$2:$C$500,MATCH(I72,Items!$H$2:$H$500,0)),"UNKNOWN")</f>
        <v>Slab</v>
      </c>
      <c r="K72" s="24" t="n">
        <f aca="false">IF(J72="UNKNOWN","",INDEX(Items!$F$2:$F$500,MATCH(I72,Items!$H$2:$H$500,0)))</f>
        <v>136</v>
      </c>
      <c r="L72" s="24" t="n">
        <f aca="false">IF(ISNUMBER(H72),G72*H72,"")</f>
        <v>7551.36</v>
      </c>
      <c r="M72" s="28" t="n">
        <f aca="false">IF(ISNUMBER(H72),G72,0)</f>
        <v>57</v>
      </c>
      <c r="N72" s="31" t="n">
        <f aca="false">IF(AND(ISNUMBER(H72),ISNUMBER(K72)),1-H72/K72,"")</f>
        <v>0.0258823529411766</v>
      </c>
      <c r="O72" s="24" t="n">
        <f aca="false">IF(J72="UNKNOWN","",INDEX(Cost_Rollup!$F$5:$F$16,MATCH(I72,Cost_Rollup!$A$5:$A$16,0)))</f>
        <v>92.94024</v>
      </c>
      <c r="P72" s="24" t="n">
        <f aca="false">IF(AND(ISNUMBER(L72),ISNUMBER(O72)),G72*O72,"")</f>
        <v>5297.59368</v>
      </c>
      <c r="Q72" s="15" t="str">
        <f aca="false">IF(H72="","Missing price; ","")&amp;IF(J72="UNKNOWN","Unknown item; ","")&amp;IF(AND(ISNUMBER(N72),N72&gt;Discount_Threshold),"Discount above limit; ","")</f>
        <v/>
      </c>
      <c r="R72" s="15" t="str">
        <f aca="false">IF(Q72="","OK","CHECK")</f>
        <v>OK</v>
      </c>
    </row>
    <row r="73" customFormat="false" ht="15" hidden="false" customHeight="false" outlineLevel="0" collapsed="false">
      <c r="A73" s="12" t="s">
        <v>343</v>
      </c>
      <c r="B73" s="30" t="n">
        <v>45774</v>
      </c>
      <c r="C73" s="12" t="s">
        <v>285</v>
      </c>
      <c r="D73" s="12" t="s">
        <v>266</v>
      </c>
      <c r="E73" s="12" t="s">
        <v>70</v>
      </c>
      <c r="F73" s="12" t="s">
        <v>108</v>
      </c>
      <c r="G73" s="23" t="n">
        <v>21</v>
      </c>
      <c r="H73" s="22" t="n">
        <v>1062.38</v>
      </c>
      <c r="I73" s="15" t="str">
        <f aca="false">UPPER(TRIM(F73))</f>
        <v>PC-RCP-0900</v>
      </c>
      <c r="J73" s="15" t="str">
        <f aca="false">IFERROR(INDEX(Items!$C$2:$C$500,MATCH(I73,Items!$H$2:$H$500,0)),"UNKNOWN")</f>
        <v>Pipe</v>
      </c>
      <c r="K73" s="24" t="n">
        <f aca="false">IF(J73="UNKNOWN","",INDEX(Items!$F$2:$F$500,MATCH(I73,Items!$H$2:$H$500,0)))</f>
        <v>1150</v>
      </c>
      <c r="L73" s="24" t="n">
        <f aca="false">IF(ISNUMBER(H73),G73*H73,"")</f>
        <v>22309.98</v>
      </c>
      <c r="M73" s="28" t="n">
        <f aca="false">IF(ISNUMBER(H73),G73,0)</f>
        <v>21</v>
      </c>
      <c r="N73" s="31" t="n">
        <f aca="false">IF(AND(ISNUMBER(H73),ISNUMBER(K73)),1-H73/K73,"")</f>
        <v>0.076191304347826</v>
      </c>
      <c r="O73" s="24" t="n">
        <f aca="false">IF(J73="UNKNOWN","",INDEX(Cost_Rollup!$F$5:$F$16,MATCH(I73,Cost_Rollup!$A$5:$A$16,0)))</f>
        <v>750.4337265687</v>
      </c>
      <c r="P73" s="24" t="n">
        <f aca="false">IF(AND(ISNUMBER(L73),ISNUMBER(O73)),G73*O73,"")</f>
        <v>15759.1082579427</v>
      </c>
      <c r="Q73" s="15" t="str">
        <f aca="false">IF(H73="","Missing price; ","")&amp;IF(J73="UNKNOWN","Unknown item; ","")&amp;IF(AND(ISNUMBER(N73),N73&gt;Discount_Threshold),"Discount above limit; ","")</f>
        <v/>
      </c>
      <c r="R73" s="15" t="str">
        <f aca="false">IF(Q73="","OK","CHECK")</f>
        <v>OK</v>
      </c>
    </row>
    <row r="74" customFormat="false" ht="15" hidden="false" customHeight="false" outlineLevel="0" collapsed="false">
      <c r="A74" s="12" t="s">
        <v>344</v>
      </c>
      <c r="B74" s="30" t="n">
        <v>45776</v>
      </c>
      <c r="C74" s="12" t="s">
        <v>257</v>
      </c>
      <c r="D74" s="12" t="s">
        <v>258</v>
      </c>
      <c r="E74" s="12" t="s">
        <v>70</v>
      </c>
      <c r="F74" s="12" t="s">
        <v>122</v>
      </c>
      <c r="G74" s="23" t="n">
        <v>8</v>
      </c>
      <c r="H74" s="22" t="n">
        <v>679.79</v>
      </c>
      <c r="I74" s="15" t="str">
        <f aca="false">UPPER(TRIM(F74))</f>
        <v>PC-CB-0600</v>
      </c>
      <c r="J74" s="15" t="str">
        <f aca="false">IFERROR(INDEX(Items!$C$2:$C$500,MATCH(I74,Items!$H$2:$H$500,0)),"UNKNOWN")</f>
        <v>Catch Basin</v>
      </c>
      <c r="K74" s="24" t="n">
        <f aca="false">IF(J74="UNKNOWN","",INDEX(Items!$F$2:$F$500,MATCH(I74,Items!$H$2:$H$500,0)))</f>
        <v>690</v>
      </c>
      <c r="L74" s="24" t="n">
        <f aca="false">IF(ISNUMBER(H74),G74*H74,"")</f>
        <v>5438.32</v>
      </c>
      <c r="M74" s="28" t="n">
        <f aca="false">IF(ISNUMBER(H74),G74,0)</f>
        <v>8</v>
      </c>
      <c r="N74" s="31" t="n">
        <f aca="false">IF(AND(ISNUMBER(H74),ISNUMBER(K74)),1-H74/K74,"")</f>
        <v>0.0147971014492754</v>
      </c>
      <c r="O74" s="24" t="n">
        <f aca="false">IF(J74="UNKNOWN","",INDEX(Cost_Rollup!$F$5:$F$16,MATCH(I74,Cost_Rollup!$A$5:$A$16,0)))</f>
        <v>471.0488</v>
      </c>
      <c r="P74" s="24" t="n">
        <f aca="false">IF(AND(ISNUMBER(L74),ISNUMBER(O74)),G74*O74,"")</f>
        <v>3768.3904</v>
      </c>
      <c r="Q74" s="15" t="str">
        <f aca="false">IF(H74="","Missing price; ","")&amp;IF(J74="UNKNOWN","Unknown item; ","")&amp;IF(AND(ISNUMBER(N74),N74&gt;Discount_Threshold),"Discount above limit; ","")</f>
        <v/>
      </c>
      <c r="R74" s="15" t="str">
        <f aca="false">IF(Q74="","OK","CHECK")</f>
        <v>OK</v>
      </c>
    </row>
    <row r="75" customFormat="false" ht="15" hidden="false" customHeight="false" outlineLevel="0" collapsed="false">
      <c r="A75" s="12" t="s">
        <v>345</v>
      </c>
      <c r="B75" s="30" t="n">
        <v>45779</v>
      </c>
      <c r="C75" s="12" t="s">
        <v>263</v>
      </c>
      <c r="D75" s="12" t="s">
        <v>258</v>
      </c>
      <c r="E75" s="12" t="s">
        <v>70</v>
      </c>
      <c r="F75" s="12" t="s">
        <v>103</v>
      </c>
      <c r="G75" s="23" t="n">
        <v>12</v>
      </c>
      <c r="H75" s="22" t="n">
        <v>624.49</v>
      </c>
      <c r="I75" s="15" t="str">
        <f aca="false">UPPER(TRIM(F75))</f>
        <v>PC-RCP-0600</v>
      </c>
      <c r="J75" s="15" t="str">
        <f aca="false">IFERROR(INDEX(Items!$C$2:$C$500,MATCH(I75,Items!$H$2:$H$500,0)),"UNKNOWN")</f>
        <v>Pipe</v>
      </c>
      <c r="K75" s="24" t="n">
        <f aca="false">IF(J75="UNKNOWN","",INDEX(Items!$F$2:$F$500,MATCH(I75,Items!$H$2:$H$500,0)))</f>
        <v>640</v>
      </c>
      <c r="L75" s="24" t="n">
        <f aca="false">IF(ISNUMBER(H75),G75*H75,"")</f>
        <v>7493.88</v>
      </c>
      <c r="M75" s="28" t="n">
        <f aca="false">IF(ISNUMBER(H75),G75,0)</f>
        <v>12</v>
      </c>
      <c r="N75" s="31" t="n">
        <f aca="false">IF(AND(ISNUMBER(H75),ISNUMBER(K75)),1-H75/K75,"")</f>
        <v>0.024234375</v>
      </c>
      <c r="O75" s="24" t="n">
        <f aca="false">IF(J75="UNKNOWN","",INDEX(Cost_Rollup!$F$5:$F$16,MATCH(I75,Cost_Rollup!$A$5:$A$16,0)))</f>
        <v>429.94832</v>
      </c>
      <c r="P75" s="24" t="n">
        <f aca="false">IF(AND(ISNUMBER(L75),ISNUMBER(O75)),G75*O75,"")</f>
        <v>5159.37984</v>
      </c>
      <c r="Q75" s="15" t="str">
        <f aca="false">IF(H75="","Missing price; ","")&amp;IF(J75="UNKNOWN","Unknown item; ","")&amp;IF(AND(ISNUMBER(N75),N75&gt;Discount_Threshold),"Discount above limit; ","")</f>
        <v/>
      </c>
      <c r="R75" s="15" t="str">
        <f aca="false">IF(Q75="","OK","CHECK")</f>
        <v>OK</v>
      </c>
    </row>
    <row r="76" customFormat="false" ht="15" hidden="false" customHeight="false" outlineLevel="0" collapsed="false">
      <c r="A76" s="12" t="s">
        <v>346</v>
      </c>
      <c r="B76" s="30" t="n">
        <v>45779</v>
      </c>
      <c r="C76" s="12" t="s">
        <v>257</v>
      </c>
      <c r="D76" s="12" t="s">
        <v>258</v>
      </c>
      <c r="E76" s="12" t="s">
        <v>70</v>
      </c>
      <c r="F76" s="12" t="s">
        <v>122</v>
      </c>
      <c r="G76" s="23" t="n">
        <v>3</v>
      </c>
      <c r="H76" s="22" t="n">
        <v>702.7</v>
      </c>
      <c r="I76" s="15" t="str">
        <f aca="false">UPPER(TRIM(F76))</f>
        <v>PC-CB-0600</v>
      </c>
      <c r="J76" s="15" t="str">
        <f aca="false">IFERROR(INDEX(Items!$C$2:$C$500,MATCH(I76,Items!$H$2:$H$500,0)),"UNKNOWN")</f>
        <v>Catch Basin</v>
      </c>
      <c r="K76" s="24" t="n">
        <f aca="false">IF(J76="UNKNOWN","",INDEX(Items!$F$2:$F$500,MATCH(I76,Items!$H$2:$H$500,0)))</f>
        <v>690</v>
      </c>
      <c r="L76" s="24" t="n">
        <f aca="false">IF(ISNUMBER(H76),G76*H76,"")</f>
        <v>2108.1</v>
      </c>
      <c r="M76" s="28" t="n">
        <f aca="false">IF(ISNUMBER(H76),G76,0)</f>
        <v>3</v>
      </c>
      <c r="N76" s="31" t="n">
        <f aca="false">IF(AND(ISNUMBER(H76),ISNUMBER(K76)),1-H76/K76,"")</f>
        <v>-0.0184057971014493</v>
      </c>
      <c r="O76" s="24" t="n">
        <f aca="false">IF(J76="UNKNOWN","",INDEX(Cost_Rollup!$F$5:$F$16,MATCH(I76,Cost_Rollup!$A$5:$A$16,0)))</f>
        <v>471.0488</v>
      </c>
      <c r="P76" s="24" t="n">
        <f aca="false">IF(AND(ISNUMBER(L76),ISNUMBER(O76)),G76*O76,"")</f>
        <v>1413.1464</v>
      </c>
      <c r="Q76" s="15" t="str">
        <f aca="false">IF(H76="","Missing price; ","")&amp;IF(J76="UNKNOWN","Unknown item; ","")&amp;IF(AND(ISNUMBER(N76),N76&gt;Discount_Threshold),"Discount above limit; ","")</f>
        <v/>
      </c>
      <c r="R76" s="15" t="str">
        <f aca="false">IF(Q76="","OK","CHECK")</f>
        <v>OK</v>
      </c>
    </row>
    <row r="77" customFormat="false" ht="15" hidden="false" customHeight="false" outlineLevel="0" collapsed="false">
      <c r="A77" s="12" t="s">
        <v>347</v>
      </c>
      <c r="B77" s="30" t="n">
        <v>45782</v>
      </c>
      <c r="C77" s="12" t="s">
        <v>260</v>
      </c>
      <c r="D77" s="12" t="s">
        <v>258</v>
      </c>
      <c r="E77" s="12" t="s">
        <v>70</v>
      </c>
      <c r="F77" s="12" t="s">
        <v>125</v>
      </c>
      <c r="G77" s="23" t="n">
        <v>30</v>
      </c>
      <c r="H77" s="22" t="n">
        <v>1311.93</v>
      </c>
      <c r="I77" s="15" t="str">
        <f aca="false">UPPER(TRIM(F77))</f>
        <v>PC-BAR-F38</v>
      </c>
      <c r="J77" s="15" t="str">
        <f aca="false">IFERROR(INDEX(Items!$C$2:$C$500,MATCH(I77,Items!$H$2:$H$500,0)),"UNKNOWN")</f>
        <v>Barrier</v>
      </c>
      <c r="K77" s="24" t="n">
        <f aca="false">IF(J77="UNKNOWN","",INDEX(Items!$F$2:$F$500,MATCH(I77,Items!$H$2:$H$500,0)))</f>
        <v>1450</v>
      </c>
      <c r="L77" s="24" t="n">
        <f aca="false">IF(ISNUMBER(H77),G77*H77,"")</f>
        <v>39357.9</v>
      </c>
      <c r="M77" s="28" t="n">
        <f aca="false">IF(ISNUMBER(H77),G77,0)</f>
        <v>30</v>
      </c>
      <c r="N77" s="31" t="n">
        <f aca="false">IF(AND(ISNUMBER(H77),ISNUMBER(K77)),1-H77/K77,"")</f>
        <v>0.0952206896551724</v>
      </c>
      <c r="O77" s="24" t="n">
        <f aca="false">IF(J77="UNKNOWN","",INDEX(Cost_Rollup!$F$5:$F$16,MATCH(I77,Cost_Rollup!$A$5:$A$16,0)))</f>
        <v>978.66328</v>
      </c>
      <c r="P77" s="24" t="n">
        <f aca="false">IF(AND(ISNUMBER(L77),ISNUMBER(O77)),G77*O77,"")</f>
        <v>29359.8984</v>
      </c>
      <c r="Q77" s="15" t="str">
        <f aca="false">IF(H77="","Missing price; ","")&amp;IF(J77="UNKNOWN","Unknown item; ","")&amp;IF(AND(ISNUMBER(N77),N77&gt;Discount_Threshold),"Discount above limit; ","")</f>
        <v/>
      </c>
      <c r="R77" s="15" t="str">
        <f aca="false">IF(Q77="","OK","CHECK")</f>
        <v>OK</v>
      </c>
    </row>
    <row r="78" customFormat="false" ht="15" hidden="false" customHeight="false" outlineLevel="0" collapsed="false">
      <c r="A78" s="12" t="s">
        <v>348</v>
      </c>
      <c r="B78" s="30" t="n">
        <v>45782</v>
      </c>
      <c r="C78" s="12" t="s">
        <v>257</v>
      </c>
      <c r="D78" s="12" t="s">
        <v>258</v>
      </c>
      <c r="E78" s="12" t="s">
        <v>70</v>
      </c>
      <c r="F78" s="12" t="s">
        <v>110</v>
      </c>
      <c r="G78" s="23" t="n">
        <v>21</v>
      </c>
      <c r="H78" s="22" t="n">
        <v>1905.38</v>
      </c>
      <c r="I78" s="15" t="str">
        <f aca="false">UPPER(TRIM(F78))</f>
        <v>PC-RCP-1200</v>
      </c>
      <c r="J78" s="15" t="str">
        <f aca="false">IFERROR(INDEX(Items!$C$2:$C$500,MATCH(I78,Items!$H$2:$H$500,0)),"UNKNOWN")</f>
        <v>Pipe</v>
      </c>
      <c r="K78" s="24" t="n">
        <f aca="false">IF(J78="UNKNOWN","",INDEX(Items!$F$2:$F$500,MATCH(I78,Items!$H$2:$H$500,0)))</f>
        <v>1890</v>
      </c>
      <c r="L78" s="24" t="n">
        <f aca="false">IF(ISNUMBER(H78),G78*H78,"")</f>
        <v>40012.98</v>
      </c>
      <c r="M78" s="28" t="n">
        <f aca="false">IF(ISNUMBER(H78),G78,0)</f>
        <v>21</v>
      </c>
      <c r="N78" s="31" t="n">
        <f aca="false">IF(AND(ISNUMBER(H78),ISNUMBER(K78)),1-H78/K78,"")</f>
        <v>-0.00813756613756622</v>
      </c>
      <c r="O78" s="24" t="n">
        <f aca="false">IF(J78="UNKNOWN","",INDEX(Cost_Rollup!$F$5:$F$16,MATCH(I78,Cost_Rollup!$A$5:$A$16,0)))</f>
        <v>1206.4054</v>
      </c>
      <c r="P78" s="24" t="n">
        <f aca="false">IF(AND(ISNUMBER(L78),ISNUMBER(O78)),G78*O78,"")</f>
        <v>25334.5134</v>
      </c>
      <c r="Q78" s="15" t="str">
        <f aca="false">IF(H78="","Missing price; ","")&amp;IF(J78="UNKNOWN","Unknown item; ","")&amp;IF(AND(ISNUMBER(N78),N78&gt;Discount_Threshold),"Discount above limit; ","")</f>
        <v/>
      </c>
      <c r="R78" s="15" t="str">
        <f aca="false">IF(Q78="","OK","CHECK")</f>
        <v>OK</v>
      </c>
    </row>
    <row r="79" customFormat="false" ht="15" hidden="false" customHeight="false" outlineLevel="0" collapsed="false">
      <c r="A79" s="12" t="s">
        <v>349</v>
      </c>
      <c r="B79" s="30" t="n">
        <v>45783</v>
      </c>
      <c r="C79" s="12" t="s">
        <v>263</v>
      </c>
      <c r="D79" s="12" t="s">
        <v>258</v>
      </c>
      <c r="E79" s="12" t="s">
        <v>70</v>
      </c>
      <c r="F79" s="12" t="s">
        <v>115</v>
      </c>
      <c r="G79" s="23" t="n">
        <v>2</v>
      </c>
      <c r="H79" s="22" t="n">
        <v>894.88</v>
      </c>
      <c r="I79" s="15" t="str">
        <f aca="false">UPPER(TRIM(F79))</f>
        <v>PC-MH-1050B</v>
      </c>
      <c r="J79" s="15" t="str">
        <f aca="false">IFERROR(INDEX(Items!$C$2:$C$500,MATCH(I79,Items!$H$2:$H$500,0)),"UNKNOWN")</f>
        <v>Manhole</v>
      </c>
      <c r="K79" s="24" t="n">
        <f aca="false">IF(J79="UNKNOWN","",INDEX(Items!$F$2:$F$500,MATCH(I79,Items!$H$2:$H$500,0)))</f>
        <v>980</v>
      </c>
      <c r="L79" s="24" t="n">
        <f aca="false">IF(ISNUMBER(H79),G79*H79,"")</f>
        <v>1789.76</v>
      </c>
      <c r="M79" s="28" t="n">
        <f aca="false">IF(ISNUMBER(H79),G79,0)</f>
        <v>2</v>
      </c>
      <c r="N79" s="31" t="n">
        <f aca="false">IF(AND(ISNUMBER(H79),ISNUMBER(K79)),1-H79/K79,"")</f>
        <v>0.0868571428571429</v>
      </c>
      <c r="O79" s="24" t="n">
        <f aca="false">IF(J79="UNKNOWN","",INDEX(Cost_Rollup!$F$5:$F$16,MATCH(I79,Cost_Rollup!$A$5:$A$16,0)))</f>
        <v>635.433</v>
      </c>
      <c r="P79" s="24" t="n">
        <f aca="false">IF(AND(ISNUMBER(L79),ISNUMBER(O79)),G79*O79,"")</f>
        <v>1270.866</v>
      </c>
      <c r="Q79" s="15" t="str">
        <f aca="false">IF(H79="","Missing price; ","")&amp;IF(J79="UNKNOWN","Unknown item; ","")&amp;IF(AND(ISNUMBER(N79),N79&gt;Discount_Threshold),"Discount above limit; ","")</f>
        <v/>
      </c>
      <c r="R79" s="15" t="str">
        <f aca="false">IF(Q79="","OK","CHECK")</f>
        <v>OK</v>
      </c>
    </row>
    <row r="80" customFormat="false" ht="15" hidden="false" customHeight="false" outlineLevel="0" collapsed="false">
      <c r="A80" s="12" t="s">
        <v>350</v>
      </c>
      <c r="B80" s="30" t="n">
        <v>45784</v>
      </c>
      <c r="C80" s="12" t="s">
        <v>279</v>
      </c>
      <c r="D80" s="12" t="s">
        <v>280</v>
      </c>
      <c r="E80" s="12" t="s">
        <v>147</v>
      </c>
      <c r="F80" s="12" t="s">
        <v>103</v>
      </c>
      <c r="G80" s="23" t="n">
        <v>21</v>
      </c>
      <c r="H80" s="22" t="n">
        <v>607.54</v>
      </c>
      <c r="I80" s="15" t="str">
        <f aca="false">UPPER(TRIM(F80))</f>
        <v>PC-RCP-0600</v>
      </c>
      <c r="J80" s="15" t="str">
        <f aca="false">IFERROR(INDEX(Items!$C$2:$C$500,MATCH(I80,Items!$H$2:$H$500,0)),"UNKNOWN")</f>
        <v>Pipe</v>
      </c>
      <c r="K80" s="24" t="n">
        <f aca="false">IF(J80="UNKNOWN","",INDEX(Items!$F$2:$F$500,MATCH(I80,Items!$H$2:$H$500,0)))</f>
        <v>640</v>
      </c>
      <c r="L80" s="24" t="n">
        <f aca="false">IF(ISNUMBER(H80),G80*H80,"")</f>
        <v>12758.34</v>
      </c>
      <c r="M80" s="28" t="n">
        <f aca="false">IF(ISNUMBER(H80),G80,0)</f>
        <v>21</v>
      </c>
      <c r="N80" s="31" t="n">
        <f aca="false">IF(AND(ISNUMBER(H80),ISNUMBER(K80)),1-H80/K80,"")</f>
        <v>0.05071875</v>
      </c>
      <c r="O80" s="24" t="n">
        <f aca="false">IF(J80="UNKNOWN","",INDEX(Cost_Rollup!$F$5:$F$16,MATCH(I80,Cost_Rollup!$A$5:$A$16,0)))</f>
        <v>429.94832</v>
      </c>
      <c r="P80" s="24" t="n">
        <f aca="false">IF(AND(ISNUMBER(L80),ISNUMBER(O80)),G80*O80,"")</f>
        <v>9028.91472</v>
      </c>
      <c r="Q80" s="15" t="str">
        <f aca="false">IF(H80="","Missing price; ","")&amp;IF(J80="UNKNOWN","Unknown item; ","")&amp;IF(AND(ISNUMBER(N80),N80&gt;Discount_Threshold),"Discount above limit; ","")</f>
        <v/>
      </c>
      <c r="R80" s="15" t="str">
        <f aca="false">IF(Q80="","OK","CHECK")</f>
        <v>OK</v>
      </c>
    </row>
    <row r="81" customFormat="false" ht="15" hidden="false" customHeight="false" outlineLevel="0" collapsed="false">
      <c r="A81" s="12" t="s">
        <v>351</v>
      </c>
      <c r="B81" s="30" t="n">
        <v>45785</v>
      </c>
      <c r="C81" s="12" t="s">
        <v>273</v>
      </c>
      <c r="D81" s="12" t="s">
        <v>274</v>
      </c>
      <c r="E81" s="12" t="s">
        <v>147</v>
      </c>
      <c r="F81" s="12" t="s">
        <v>131</v>
      </c>
      <c r="G81" s="23" t="n">
        <v>152</v>
      </c>
      <c r="H81" s="22" t="n">
        <v>119</v>
      </c>
      <c r="I81" s="15" t="str">
        <f aca="false">UPPER(TRIM(F81))</f>
        <v>PC-HC-200</v>
      </c>
      <c r="J81" s="15" t="str">
        <f aca="false">IFERROR(INDEX(Items!$C$2:$C$500,MATCH(I81,Items!$H$2:$H$500,0)),"UNKNOWN")</f>
        <v>Slab</v>
      </c>
      <c r="K81" s="24" t="n">
        <f aca="false">IF(J81="UNKNOWN","",INDEX(Items!$F$2:$F$500,MATCH(I81,Items!$H$2:$H$500,0)))</f>
        <v>118</v>
      </c>
      <c r="L81" s="24" t="n">
        <f aca="false">IF(ISNUMBER(H81),G81*H81,"")</f>
        <v>18088</v>
      </c>
      <c r="M81" s="28" t="n">
        <f aca="false">IF(ISNUMBER(H81),G81,0)</f>
        <v>152</v>
      </c>
      <c r="N81" s="31" t="n">
        <f aca="false">IF(AND(ISNUMBER(H81),ISNUMBER(K81)),1-H81/K81,"")</f>
        <v>-0.00847457627118642</v>
      </c>
      <c r="O81" s="24" t="n">
        <f aca="false">IF(J81="UNKNOWN","",INDEX(Cost_Rollup!$F$5:$F$16,MATCH(I81,Cost_Rollup!$A$5:$A$16,0)))</f>
        <v>78.89382</v>
      </c>
      <c r="P81" s="24" t="n">
        <f aca="false">IF(AND(ISNUMBER(L81),ISNUMBER(O81)),G81*O81,"")</f>
        <v>11991.86064</v>
      </c>
      <c r="Q81" s="15" t="str">
        <f aca="false">IF(H81="","Missing price; ","")&amp;IF(J81="UNKNOWN","Unknown item; ","")&amp;IF(AND(ISNUMBER(N81),N81&gt;Discount_Threshold),"Discount above limit; ","")</f>
        <v/>
      </c>
      <c r="R81" s="15" t="str">
        <f aca="false">IF(Q81="","OK","CHECK")</f>
        <v>OK</v>
      </c>
    </row>
    <row r="82" customFormat="false" ht="15" hidden="false" customHeight="false" outlineLevel="0" collapsed="false">
      <c r="A82" s="12" t="s">
        <v>352</v>
      </c>
      <c r="B82" s="30" t="n">
        <v>45786</v>
      </c>
      <c r="C82" s="12" t="s">
        <v>265</v>
      </c>
      <c r="D82" s="12" t="s">
        <v>266</v>
      </c>
      <c r="E82" s="12" t="s">
        <v>70</v>
      </c>
      <c r="F82" s="12" t="s">
        <v>120</v>
      </c>
      <c r="G82" s="23" t="n">
        <v>3</v>
      </c>
      <c r="H82" s="22" t="n">
        <v>505.4</v>
      </c>
      <c r="I82" s="15" t="str">
        <f aca="false">UPPER(TRIM(F82))</f>
        <v>PC-MH-1200R</v>
      </c>
      <c r="J82" s="15" t="str">
        <f aca="false">IFERROR(INDEX(Items!$C$2:$C$500,MATCH(I82,Items!$H$2:$H$500,0)),"UNKNOWN")</f>
        <v>Manhole</v>
      </c>
      <c r="K82" s="24" t="n">
        <f aca="false">IF(J82="UNKNOWN","",INDEX(Items!$F$2:$F$500,MATCH(I82,Items!$H$2:$H$500,0)))</f>
        <v>520</v>
      </c>
      <c r="L82" s="24" t="n">
        <f aca="false">IF(ISNUMBER(H82),G82*H82,"")</f>
        <v>1516.2</v>
      </c>
      <c r="M82" s="28" t="n">
        <f aca="false">IF(ISNUMBER(H82),G82,0)</f>
        <v>3</v>
      </c>
      <c r="N82" s="31" t="n">
        <f aca="false">IF(AND(ISNUMBER(H82),ISNUMBER(K82)),1-H82/K82,"")</f>
        <v>0.0280769230769231</v>
      </c>
      <c r="O82" s="24" t="n">
        <f aca="false">IF(J82="UNKNOWN","",INDEX(Cost_Rollup!$F$5:$F$16,MATCH(I82,Cost_Rollup!$A$5:$A$16,0)))</f>
        <v>381.98428</v>
      </c>
      <c r="P82" s="24" t="n">
        <f aca="false">IF(AND(ISNUMBER(L82),ISNUMBER(O82)),G82*O82,"")</f>
        <v>1145.95284</v>
      </c>
      <c r="Q82" s="15" t="str">
        <f aca="false">IF(H82="","Missing price; ","")&amp;IF(J82="UNKNOWN","Unknown item; ","")&amp;IF(AND(ISNUMBER(N82),N82&gt;Discount_Threshold),"Discount above limit; ","")</f>
        <v/>
      </c>
      <c r="R82" s="15" t="str">
        <f aca="false">IF(Q82="","OK","CHECK")</f>
        <v>OK</v>
      </c>
    </row>
    <row r="83" customFormat="false" ht="15" hidden="false" customHeight="false" outlineLevel="0" collapsed="false">
      <c r="A83" s="12" t="s">
        <v>353</v>
      </c>
      <c r="B83" s="30" t="n">
        <v>45787</v>
      </c>
      <c r="C83" s="12" t="s">
        <v>276</v>
      </c>
      <c r="D83" s="12" t="s">
        <v>277</v>
      </c>
      <c r="E83" s="12" t="s">
        <v>70</v>
      </c>
      <c r="F83" s="12" t="s">
        <v>129</v>
      </c>
      <c r="G83" s="23" t="n">
        <v>29</v>
      </c>
      <c r="H83" s="22" t="n">
        <v>2232.2</v>
      </c>
      <c r="I83" s="15" t="str">
        <f aca="false">UPPER(TRIM(F83))</f>
        <v>PC-BAR-SS60</v>
      </c>
      <c r="J83" s="15" t="str">
        <f aca="false">IFERROR(INDEX(Items!$C$2:$C$500,MATCH(I83,Items!$H$2:$H$500,0)),"UNKNOWN")</f>
        <v>Barrier</v>
      </c>
      <c r="K83" s="24" t="n">
        <f aca="false">IF(J83="UNKNOWN","",INDEX(Items!$F$2:$F$500,MATCH(I83,Items!$H$2:$H$500,0)))</f>
        <v>2350</v>
      </c>
      <c r="L83" s="24" t="n">
        <f aca="false">IF(ISNUMBER(H83),G83*H83,"")</f>
        <v>64733.8</v>
      </c>
      <c r="M83" s="28" t="n">
        <f aca="false">IF(ISNUMBER(H83),G83,0)</f>
        <v>29</v>
      </c>
      <c r="N83" s="31" t="n">
        <f aca="false">IF(AND(ISNUMBER(H83),ISNUMBER(K83)),1-H83/K83,"")</f>
        <v>0.0501276595744682</v>
      </c>
      <c r="O83" s="24" t="n">
        <f aca="false">IF(J83="UNKNOWN","",INDEX(Cost_Rollup!$F$5:$F$16,MATCH(I83,Cost_Rollup!$A$5:$A$16,0)))</f>
        <v>1583.5454</v>
      </c>
      <c r="P83" s="24" t="n">
        <f aca="false">IF(AND(ISNUMBER(L83),ISNUMBER(O83)),G83*O83,"")</f>
        <v>45922.8166</v>
      </c>
      <c r="Q83" s="15" t="str">
        <f aca="false">IF(H83="","Missing price; ","")&amp;IF(J83="UNKNOWN","Unknown item; ","")&amp;IF(AND(ISNUMBER(N83),N83&gt;Discount_Threshold),"Discount above limit; ","")</f>
        <v/>
      </c>
      <c r="R83" s="15" t="str">
        <f aca="false">IF(Q83="","OK","CHECK")</f>
        <v>OK</v>
      </c>
    </row>
    <row r="84" customFormat="false" ht="15" hidden="false" customHeight="false" outlineLevel="0" collapsed="false">
      <c r="A84" s="12" t="s">
        <v>354</v>
      </c>
      <c r="B84" s="30" t="n">
        <v>45789</v>
      </c>
      <c r="C84" s="12" t="s">
        <v>257</v>
      </c>
      <c r="D84" s="12" t="s">
        <v>258</v>
      </c>
      <c r="E84" s="12" t="s">
        <v>70</v>
      </c>
      <c r="F84" s="12" t="s">
        <v>131</v>
      </c>
      <c r="G84" s="23" t="n">
        <v>273</v>
      </c>
      <c r="H84" s="22" t="n">
        <v>121.36</v>
      </c>
      <c r="I84" s="15" t="str">
        <f aca="false">UPPER(TRIM(F84))</f>
        <v>PC-HC-200</v>
      </c>
      <c r="J84" s="15" t="str">
        <f aca="false">IFERROR(INDEX(Items!$C$2:$C$500,MATCH(I84,Items!$H$2:$H$500,0)),"UNKNOWN")</f>
        <v>Slab</v>
      </c>
      <c r="K84" s="24" t="n">
        <f aca="false">IF(J84="UNKNOWN","",INDEX(Items!$F$2:$F$500,MATCH(I84,Items!$H$2:$H$500,0)))</f>
        <v>118</v>
      </c>
      <c r="L84" s="24" t="n">
        <f aca="false">IF(ISNUMBER(H84),G84*H84,"")</f>
        <v>33131.28</v>
      </c>
      <c r="M84" s="28" t="n">
        <f aca="false">IF(ISNUMBER(H84),G84,0)</f>
        <v>273</v>
      </c>
      <c r="N84" s="31" t="n">
        <f aca="false">IF(AND(ISNUMBER(H84),ISNUMBER(K84)),1-H84/K84,"")</f>
        <v>-0.0284745762711864</v>
      </c>
      <c r="O84" s="24" t="n">
        <f aca="false">IF(J84="UNKNOWN","",INDEX(Cost_Rollup!$F$5:$F$16,MATCH(I84,Cost_Rollup!$A$5:$A$16,0)))</f>
        <v>78.89382</v>
      </c>
      <c r="P84" s="24" t="n">
        <f aca="false">IF(AND(ISNUMBER(L84),ISNUMBER(O84)),G84*O84,"")</f>
        <v>21538.01286</v>
      </c>
      <c r="Q84" s="15" t="str">
        <f aca="false">IF(H84="","Missing price; ","")&amp;IF(J84="UNKNOWN","Unknown item; ","")&amp;IF(AND(ISNUMBER(N84),N84&gt;Discount_Threshold),"Discount above limit; ","")</f>
        <v/>
      </c>
      <c r="R84" s="15" t="str">
        <f aca="false">IF(Q84="","OK","CHECK")</f>
        <v>OK</v>
      </c>
    </row>
    <row r="85" customFormat="false" ht="15" hidden="false" customHeight="false" outlineLevel="0" collapsed="false">
      <c r="A85" s="12" t="s">
        <v>355</v>
      </c>
      <c r="B85" s="30" t="n">
        <v>45791</v>
      </c>
      <c r="C85" s="12" t="s">
        <v>257</v>
      </c>
      <c r="D85" s="12" t="s">
        <v>258</v>
      </c>
      <c r="E85" s="12" t="s">
        <v>70</v>
      </c>
      <c r="F85" s="12" t="s">
        <v>118</v>
      </c>
      <c r="G85" s="23" t="n">
        <v>7</v>
      </c>
      <c r="H85" s="22" t="n">
        <v>1289.54</v>
      </c>
      <c r="I85" s="15" t="str">
        <f aca="false">UPPER(TRIM(F85))</f>
        <v>PC-MH-1200B</v>
      </c>
      <c r="J85" s="15" t="str">
        <f aca="false">IFERROR(INDEX(Items!$C$2:$C$500,MATCH(I85,Items!$H$2:$H$500,0)),"UNKNOWN")</f>
        <v>Manhole</v>
      </c>
      <c r="K85" s="24" t="n">
        <f aca="false">IF(J85="UNKNOWN","",INDEX(Items!$F$2:$F$500,MATCH(I85,Items!$H$2:$H$500,0)))</f>
        <v>1240</v>
      </c>
      <c r="L85" s="24" t="n">
        <f aca="false">IF(ISNUMBER(H85),G85*H85,"")</f>
        <v>9026.78</v>
      </c>
      <c r="M85" s="28" t="n">
        <f aca="false">IF(ISNUMBER(H85),G85,0)</f>
        <v>7</v>
      </c>
      <c r="N85" s="31" t="n">
        <f aca="false">IF(AND(ISNUMBER(H85),ISNUMBER(K85)),1-H85/K85,"")</f>
        <v>-0.0399516129032258</v>
      </c>
      <c r="O85" s="24" t="n">
        <f aca="false">IF(J85="UNKNOWN","",INDEX(Cost_Rollup!$F$5:$F$16,MATCH(I85,Cost_Rollup!$A$5:$A$16,0)))</f>
        <v>753.4208</v>
      </c>
      <c r="P85" s="24" t="n">
        <f aca="false">IF(AND(ISNUMBER(L85),ISNUMBER(O85)),G85*O85,"")</f>
        <v>5273.9456</v>
      </c>
      <c r="Q85" s="15" t="str">
        <f aca="false">IF(H85="","Missing price; ","")&amp;IF(J85="UNKNOWN","Unknown item; ","")&amp;IF(AND(ISNUMBER(N85),N85&gt;Discount_Threshold),"Discount above limit; ","")</f>
        <v/>
      </c>
      <c r="R85" s="15" t="str">
        <f aca="false">IF(Q85="","OK","CHECK")</f>
        <v>OK</v>
      </c>
    </row>
    <row r="86" customFormat="false" ht="15" hidden="false" customHeight="false" outlineLevel="0" collapsed="false">
      <c r="A86" s="12" t="s">
        <v>356</v>
      </c>
      <c r="B86" s="30" t="n">
        <v>45793</v>
      </c>
      <c r="C86" s="12" t="s">
        <v>260</v>
      </c>
      <c r="D86" s="12" t="s">
        <v>258</v>
      </c>
      <c r="E86" s="12" t="s">
        <v>70</v>
      </c>
      <c r="F86" s="12" t="s">
        <v>122</v>
      </c>
      <c r="G86" s="23" t="n">
        <v>9</v>
      </c>
      <c r="H86" s="22" t="n">
        <v>654.42</v>
      </c>
      <c r="I86" s="15" t="str">
        <f aca="false">UPPER(TRIM(F86))</f>
        <v>PC-CB-0600</v>
      </c>
      <c r="J86" s="15" t="str">
        <f aca="false">IFERROR(INDEX(Items!$C$2:$C$500,MATCH(I86,Items!$H$2:$H$500,0)),"UNKNOWN")</f>
        <v>Catch Basin</v>
      </c>
      <c r="K86" s="24" t="n">
        <f aca="false">IF(J86="UNKNOWN","",INDEX(Items!$F$2:$F$500,MATCH(I86,Items!$H$2:$H$500,0)))</f>
        <v>690</v>
      </c>
      <c r="L86" s="24" t="n">
        <f aca="false">IF(ISNUMBER(H86),G86*H86,"")</f>
        <v>5889.78</v>
      </c>
      <c r="M86" s="28" t="n">
        <f aca="false">IF(ISNUMBER(H86),G86,0)</f>
        <v>9</v>
      </c>
      <c r="N86" s="31" t="n">
        <f aca="false">IF(AND(ISNUMBER(H86),ISNUMBER(K86)),1-H86/K86,"")</f>
        <v>0.0515652173913044</v>
      </c>
      <c r="O86" s="24" t="n">
        <f aca="false">IF(J86="UNKNOWN","",INDEX(Cost_Rollup!$F$5:$F$16,MATCH(I86,Cost_Rollup!$A$5:$A$16,0)))</f>
        <v>471.0488</v>
      </c>
      <c r="P86" s="24" t="n">
        <f aca="false">IF(AND(ISNUMBER(L86),ISNUMBER(O86)),G86*O86,"")</f>
        <v>4239.4392</v>
      </c>
      <c r="Q86" s="15" t="str">
        <f aca="false">IF(H86="","Missing price; ","")&amp;IF(J86="UNKNOWN","Unknown item; ","")&amp;IF(AND(ISNUMBER(N86),N86&gt;Discount_Threshold),"Discount above limit; ","")</f>
        <v/>
      </c>
      <c r="R86" s="15" t="str">
        <f aca="false">IF(Q86="","OK","CHECK")</f>
        <v>OK</v>
      </c>
    </row>
    <row r="87" customFormat="false" ht="15" hidden="false" customHeight="false" outlineLevel="0" collapsed="false">
      <c r="A87" s="12" t="s">
        <v>357</v>
      </c>
      <c r="B87" s="30" t="n">
        <v>45796</v>
      </c>
      <c r="C87" s="12" t="s">
        <v>279</v>
      </c>
      <c r="D87" s="12" t="s">
        <v>280</v>
      </c>
      <c r="E87" s="12" t="s">
        <v>147</v>
      </c>
      <c r="F87" s="12" t="s">
        <v>122</v>
      </c>
      <c r="G87" s="23" t="n">
        <v>10</v>
      </c>
      <c r="H87" s="22" t="n">
        <v>695.06</v>
      </c>
      <c r="I87" s="15" t="str">
        <f aca="false">UPPER(TRIM(F87))</f>
        <v>PC-CB-0600</v>
      </c>
      <c r="J87" s="15" t="str">
        <f aca="false">IFERROR(INDEX(Items!$C$2:$C$500,MATCH(I87,Items!$H$2:$H$500,0)),"UNKNOWN")</f>
        <v>Catch Basin</v>
      </c>
      <c r="K87" s="24" t="n">
        <f aca="false">IF(J87="UNKNOWN","",INDEX(Items!$F$2:$F$500,MATCH(I87,Items!$H$2:$H$500,0)))</f>
        <v>690</v>
      </c>
      <c r="L87" s="24" t="n">
        <f aca="false">IF(ISNUMBER(H87),G87*H87,"")</f>
        <v>6950.6</v>
      </c>
      <c r="M87" s="28" t="n">
        <f aca="false">IF(ISNUMBER(H87),G87,0)</f>
        <v>10</v>
      </c>
      <c r="N87" s="31" t="n">
        <f aca="false">IF(AND(ISNUMBER(H87),ISNUMBER(K87)),1-H87/K87,"")</f>
        <v>-0.00733333333333319</v>
      </c>
      <c r="O87" s="24" t="n">
        <f aca="false">IF(J87="UNKNOWN","",INDEX(Cost_Rollup!$F$5:$F$16,MATCH(I87,Cost_Rollup!$A$5:$A$16,0)))</f>
        <v>471.0488</v>
      </c>
      <c r="P87" s="24" t="n">
        <f aca="false">IF(AND(ISNUMBER(L87),ISNUMBER(O87)),G87*O87,"")</f>
        <v>4710.488</v>
      </c>
      <c r="Q87" s="15" t="str">
        <f aca="false">IF(H87="","Missing price; ","")&amp;IF(J87="UNKNOWN","Unknown item; ","")&amp;IF(AND(ISNUMBER(N87),N87&gt;Discount_Threshold),"Discount above limit; ","")</f>
        <v/>
      </c>
      <c r="R87" s="15" t="str">
        <f aca="false">IF(Q87="","OK","CHECK")</f>
        <v>OK</v>
      </c>
    </row>
    <row r="88" customFormat="false" ht="15" hidden="false" customHeight="false" outlineLevel="0" collapsed="false">
      <c r="A88" s="12" t="s">
        <v>358</v>
      </c>
      <c r="B88" s="30" t="n">
        <v>45798</v>
      </c>
      <c r="C88" s="12" t="s">
        <v>292</v>
      </c>
      <c r="D88" s="12" t="s">
        <v>277</v>
      </c>
      <c r="E88" s="12" t="s">
        <v>70</v>
      </c>
      <c r="F88" s="12" t="s">
        <v>135</v>
      </c>
      <c r="G88" s="23" t="n">
        <v>91</v>
      </c>
      <c r="H88" s="22" t="n">
        <v>141.42</v>
      </c>
      <c r="I88" s="15" t="str">
        <f aca="false">UPPER(TRIM(F88))</f>
        <v>PC-HC-250</v>
      </c>
      <c r="J88" s="15" t="str">
        <f aca="false">IFERROR(INDEX(Items!$C$2:$C$500,MATCH(I88,Items!$H$2:$H$500,0)),"UNKNOWN")</f>
        <v>Slab</v>
      </c>
      <c r="K88" s="24" t="n">
        <f aca="false">IF(J88="UNKNOWN","",INDEX(Items!$F$2:$F$500,MATCH(I88,Items!$H$2:$H$500,0)))</f>
        <v>136</v>
      </c>
      <c r="L88" s="24" t="n">
        <f aca="false">IF(ISNUMBER(H88),G88*H88,"")</f>
        <v>12869.22</v>
      </c>
      <c r="M88" s="28" t="n">
        <f aca="false">IF(ISNUMBER(H88),G88,0)</f>
        <v>91</v>
      </c>
      <c r="N88" s="31" t="n">
        <f aca="false">IF(AND(ISNUMBER(H88),ISNUMBER(K88)),1-H88/K88,"")</f>
        <v>-0.0398529411764705</v>
      </c>
      <c r="O88" s="24" t="n">
        <f aca="false">IF(J88="UNKNOWN","",INDEX(Cost_Rollup!$F$5:$F$16,MATCH(I88,Cost_Rollup!$A$5:$A$16,0)))</f>
        <v>92.94024</v>
      </c>
      <c r="P88" s="24" t="n">
        <f aca="false">IF(AND(ISNUMBER(L88),ISNUMBER(O88)),G88*O88,"")</f>
        <v>8457.56184</v>
      </c>
      <c r="Q88" s="15" t="str">
        <f aca="false">IF(H88="","Missing price; ","")&amp;IF(J88="UNKNOWN","Unknown item; ","")&amp;IF(AND(ISNUMBER(N88),N88&gt;Discount_Threshold),"Discount above limit; ","")</f>
        <v/>
      </c>
      <c r="R88" s="15" t="str">
        <f aca="false">IF(Q88="","OK","CHECK")</f>
        <v>OK</v>
      </c>
    </row>
    <row r="89" customFormat="false" ht="15" hidden="false" customHeight="false" outlineLevel="0" collapsed="false">
      <c r="A89" s="12" t="s">
        <v>359</v>
      </c>
      <c r="B89" s="30" t="n">
        <v>45800</v>
      </c>
      <c r="C89" s="12" t="s">
        <v>268</v>
      </c>
      <c r="D89" s="12" t="s">
        <v>269</v>
      </c>
      <c r="E89" s="12" t="s">
        <v>70</v>
      </c>
      <c r="F89" s="12" t="s">
        <v>129</v>
      </c>
      <c r="G89" s="23" t="n">
        <v>34</v>
      </c>
      <c r="H89" s="22" t="n">
        <v>2323.32</v>
      </c>
      <c r="I89" s="15" t="str">
        <f aca="false">UPPER(TRIM(F89))</f>
        <v>PC-BAR-SS60</v>
      </c>
      <c r="J89" s="15" t="str">
        <f aca="false">IFERROR(INDEX(Items!$C$2:$C$500,MATCH(I89,Items!$H$2:$H$500,0)),"UNKNOWN")</f>
        <v>Barrier</v>
      </c>
      <c r="K89" s="24" t="n">
        <f aca="false">IF(J89="UNKNOWN","",INDEX(Items!$F$2:$F$500,MATCH(I89,Items!$H$2:$H$500,0)))</f>
        <v>2350</v>
      </c>
      <c r="L89" s="24" t="n">
        <f aca="false">IF(ISNUMBER(H89),G89*H89,"")</f>
        <v>78992.88</v>
      </c>
      <c r="M89" s="28" t="n">
        <f aca="false">IF(ISNUMBER(H89),G89,0)</f>
        <v>34</v>
      </c>
      <c r="N89" s="31" t="n">
        <f aca="false">IF(AND(ISNUMBER(H89),ISNUMBER(K89)),1-H89/K89,"")</f>
        <v>0.0113531914893616</v>
      </c>
      <c r="O89" s="24" t="n">
        <f aca="false">IF(J89="UNKNOWN","",INDEX(Cost_Rollup!$F$5:$F$16,MATCH(I89,Cost_Rollup!$A$5:$A$16,0)))</f>
        <v>1583.5454</v>
      </c>
      <c r="P89" s="24" t="n">
        <f aca="false">IF(AND(ISNUMBER(L89),ISNUMBER(O89)),G89*O89,"")</f>
        <v>53840.5436</v>
      </c>
      <c r="Q89" s="15" t="str">
        <f aca="false">IF(H89="","Missing price; ","")&amp;IF(J89="UNKNOWN","Unknown item; ","")&amp;IF(AND(ISNUMBER(N89),N89&gt;Discount_Threshold),"Discount above limit; ","")</f>
        <v/>
      </c>
      <c r="R89" s="15" t="str">
        <f aca="false">IF(Q89="","OK","CHECK")</f>
        <v>OK</v>
      </c>
    </row>
    <row r="90" customFormat="false" ht="15" hidden="false" customHeight="false" outlineLevel="0" collapsed="false">
      <c r="A90" s="12" t="s">
        <v>360</v>
      </c>
      <c r="B90" s="30" t="n">
        <v>45801</v>
      </c>
      <c r="C90" s="12" t="s">
        <v>273</v>
      </c>
      <c r="D90" s="12" t="s">
        <v>274</v>
      </c>
      <c r="E90" s="12" t="s">
        <v>147</v>
      </c>
      <c r="F90" s="12" t="s">
        <v>103</v>
      </c>
      <c r="G90" s="23" t="n">
        <v>9</v>
      </c>
      <c r="H90" s="22" t="n">
        <v>625.3</v>
      </c>
      <c r="I90" s="15" t="str">
        <f aca="false">UPPER(TRIM(F90))</f>
        <v>PC-RCP-0600</v>
      </c>
      <c r="J90" s="15" t="str">
        <f aca="false">IFERROR(INDEX(Items!$C$2:$C$500,MATCH(I90,Items!$H$2:$H$500,0)),"UNKNOWN")</f>
        <v>Pipe</v>
      </c>
      <c r="K90" s="24" t="n">
        <f aca="false">IF(J90="UNKNOWN","",INDEX(Items!$F$2:$F$500,MATCH(I90,Items!$H$2:$H$500,0)))</f>
        <v>640</v>
      </c>
      <c r="L90" s="24" t="n">
        <f aca="false">IF(ISNUMBER(H90),G90*H90,"")</f>
        <v>5627.7</v>
      </c>
      <c r="M90" s="28" t="n">
        <f aca="false">IF(ISNUMBER(H90),G90,0)</f>
        <v>9</v>
      </c>
      <c r="N90" s="31" t="n">
        <f aca="false">IF(AND(ISNUMBER(H90),ISNUMBER(K90)),1-H90/K90,"")</f>
        <v>0.0229687500000001</v>
      </c>
      <c r="O90" s="24" t="n">
        <f aca="false">IF(J90="UNKNOWN","",INDEX(Cost_Rollup!$F$5:$F$16,MATCH(I90,Cost_Rollup!$A$5:$A$16,0)))</f>
        <v>429.94832</v>
      </c>
      <c r="P90" s="24" t="n">
        <f aca="false">IF(AND(ISNUMBER(L90),ISNUMBER(O90)),G90*O90,"")</f>
        <v>3869.53488</v>
      </c>
      <c r="Q90" s="15" t="str">
        <f aca="false">IF(H90="","Missing price; ","")&amp;IF(J90="UNKNOWN","Unknown item; ","")&amp;IF(AND(ISNUMBER(N90),N90&gt;Discount_Threshold),"Discount above limit; ","")</f>
        <v/>
      </c>
      <c r="R90" s="15" t="str">
        <f aca="false">IF(Q90="","OK","CHECK")</f>
        <v>OK</v>
      </c>
    </row>
    <row r="91" customFormat="false" ht="15" hidden="false" customHeight="false" outlineLevel="0" collapsed="false">
      <c r="A91" s="12" t="s">
        <v>361</v>
      </c>
      <c r="B91" s="30" t="n">
        <v>45801</v>
      </c>
      <c r="C91" s="12" t="s">
        <v>279</v>
      </c>
      <c r="D91" s="12" t="s">
        <v>280</v>
      </c>
      <c r="E91" s="12" t="s">
        <v>147</v>
      </c>
      <c r="F91" s="12" t="s">
        <v>110</v>
      </c>
      <c r="G91" s="23" t="n">
        <v>21</v>
      </c>
      <c r="H91" s="22" t="n">
        <v>1880.53</v>
      </c>
      <c r="I91" s="15" t="str">
        <f aca="false">UPPER(TRIM(F91))</f>
        <v>PC-RCP-1200</v>
      </c>
      <c r="J91" s="15" t="str">
        <f aca="false">IFERROR(INDEX(Items!$C$2:$C$500,MATCH(I91,Items!$H$2:$H$500,0)),"UNKNOWN")</f>
        <v>Pipe</v>
      </c>
      <c r="K91" s="24" t="n">
        <f aca="false">IF(J91="UNKNOWN","",INDEX(Items!$F$2:$F$500,MATCH(I91,Items!$H$2:$H$500,0)))</f>
        <v>1890</v>
      </c>
      <c r="L91" s="24" t="n">
        <f aca="false">IF(ISNUMBER(H91),G91*H91,"")</f>
        <v>39491.13</v>
      </c>
      <c r="M91" s="28" t="n">
        <f aca="false">IF(ISNUMBER(H91),G91,0)</f>
        <v>21</v>
      </c>
      <c r="N91" s="31" t="n">
        <f aca="false">IF(AND(ISNUMBER(H91),ISNUMBER(K91)),1-H91/K91,"")</f>
        <v>0.00501058201058202</v>
      </c>
      <c r="O91" s="24" t="n">
        <f aca="false">IF(J91="UNKNOWN","",INDEX(Cost_Rollup!$F$5:$F$16,MATCH(I91,Cost_Rollup!$A$5:$A$16,0)))</f>
        <v>1206.4054</v>
      </c>
      <c r="P91" s="24" t="n">
        <f aca="false">IF(AND(ISNUMBER(L91),ISNUMBER(O91)),G91*O91,"")</f>
        <v>25334.5134</v>
      </c>
      <c r="Q91" s="15" t="str">
        <f aca="false">IF(H91="","Missing price; ","")&amp;IF(J91="UNKNOWN","Unknown item; ","")&amp;IF(AND(ISNUMBER(N91),N91&gt;Discount_Threshold),"Discount above limit; ","")</f>
        <v/>
      </c>
      <c r="R91" s="15" t="str">
        <f aca="false">IF(Q91="","OK","CHECK")</f>
        <v>OK</v>
      </c>
    </row>
    <row r="92" customFormat="false" ht="15" hidden="false" customHeight="false" outlineLevel="0" collapsed="false">
      <c r="A92" s="12" t="s">
        <v>362</v>
      </c>
      <c r="B92" s="30" t="n">
        <v>45803</v>
      </c>
      <c r="C92" s="12" t="s">
        <v>279</v>
      </c>
      <c r="D92" s="12" t="s">
        <v>280</v>
      </c>
      <c r="E92" s="12" t="s">
        <v>147</v>
      </c>
      <c r="F92" s="12" t="s">
        <v>122</v>
      </c>
      <c r="G92" s="23" t="n">
        <v>6</v>
      </c>
      <c r="H92" s="22" t="n">
        <v>645.24</v>
      </c>
      <c r="I92" s="15" t="str">
        <f aca="false">UPPER(TRIM(F92))</f>
        <v>PC-CB-0600</v>
      </c>
      <c r="J92" s="15" t="str">
        <f aca="false">IFERROR(INDEX(Items!$C$2:$C$500,MATCH(I92,Items!$H$2:$H$500,0)),"UNKNOWN")</f>
        <v>Catch Basin</v>
      </c>
      <c r="K92" s="24" t="n">
        <f aca="false">IF(J92="UNKNOWN","",INDEX(Items!$F$2:$F$500,MATCH(I92,Items!$H$2:$H$500,0)))</f>
        <v>690</v>
      </c>
      <c r="L92" s="24" t="n">
        <f aca="false">IF(ISNUMBER(H92),G92*H92,"")</f>
        <v>3871.44</v>
      </c>
      <c r="M92" s="28" t="n">
        <f aca="false">IF(ISNUMBER(H92),G92,0)</f>
        <v>6</v>
      </c>
      <c r="N92" s="31" t="n">
        <f aca="false">IF(AND(ISNUMBER(H92),ISNUMBER(K92)),1-H92/K92,"")</f>
        <v>0.0648695652173913</v>
      </c>
      <c r="O92" s="24" t="n">
        <f aca="false">IF(J92="UNKNOWN","",INDEX(Cost_Rollup!$F$5:$F$16,MATCH(I92,Cost_Rollup!$A$5:$A$16,0)))</f>
        <v>471.0488</v>
      </c>
      <c r="P92" s="24" t="n">
        <f aca="false">IF(AND(ISNUMBER(L92),ISNUMBER(O92)),G92*O92,"")</f>
        <v>2826.2928</v>
      </c>
      <c r="Q92" s="15" t="str">
        <f aca="false">IF(H92="","Missing price; ","")&amp;IF(J92="UNKNOWN","Unknown item; ","")&amp;IF(AND(ISNUMBER(N92),N92&gt;Discount_Threshold),"Discount above limit; ","")</f>
        <v/>
      </c>
      <c r="R92" s="15" t="str">
        <f aca="false">IF(Q92="","OK","CHECK")</f>
        <v>OK</v>
      </c>
    </row>
    <row r="93" customFormat="false" ht="15" hidden="false" customHeight="false" outlineLevel="0" collapsed="false">
      <c r="A93" s="12" t="s">
        <v>363</v>
      </c>
      <c r="B93" s="30" t="n">
        <v>45807</v>
      </c>
      <c r="C93" s="12" t="s">
        <v>257</v>
      </c>
      <c r="D93" s="12" t="s">
        <v>258</v>
      </c>
      <c r="E93" s="12" t="s">
        <v>70</v>
      </c>
      <c r="F93" s="12" t="s">
        <v>115</v>
      </c>
      <c r="G93" s="23" t="n">
        <v>2</v>
      </c>
      <c r="H93" s="22" t="n">
        <v>922.74</v>
      </c>
      <c r="I93" s="15" t="str">
        <f aca="false">UPPER(TRIM(F93))</f>
        <v>PC-MH-1050B</v>
      </c>
      <c r="J93" s="15" t="str">
        <f aca="false">IFERROR(INDEX(Items!$C$2:$C$500,MATCH(I93,Items!$H$2:$H$500,0)),"UNKNOWN")</f>
        <v>Manhole</v>
      </c>
      <c r="K93" s="24" t="n">
        <f aca="false">IF(J93="UNKNOWN","",INDEX(Items!$F$2:$F$500,MATCH(I93,Items!$H$2:$H$500,0)))</f>
        <v>980</v>
      </c>
      <c r="L93" s="24" t="n">
        <f aca="false">IF(ISNUMBER(H93),G93*H93,"")</f>
        <v>1845.48</v>
      </c>
      <c r="M93" s="28" t="n">
        <f aca="false">IF(ISNUMBER(H93),G93,0)</f>
        <v>2</v>
      </c>
      <c r="N93" s="31" t="n">
        <f aca="false">IF(AND(ISNUMBER(H93),ISNUMBER(K93)),1-H93/K93,"")</f>
        <v>0.0584285714285714</v>
      </c>
      <c r="O93" s="24" t="n">
        <f aca="false">IF(J93="UNKNOWN","",INDEX(Cost_Rollup!$F$5:$F$16,MATCH(I93,Cost_Rollup!$A$5:$A$16,0)))</f>
        <v>635.433</v>
      </c>
      <c r="P93" s="24" t="n">
        <f aca="false">IF(AND(ISNUMBER(L93),ISNUMBER(O93)),G93*O93,"")</f>
        <v>1270.866</v>
      </c>
      <c r="Q93" s="15" t="str">
        <f aca="false">IF(H93="","Missing price; ","")&amp;IF(J93="UNKNOWN","Unknown item; ","")&amp;IF(AND(ISNUMBER(N93),N93&gt;Discount_Threshold),"Discount above limit; ","")</f>
        <v/>
      </c>
      <c r="R93" s="15" t="str">
        <f aca="false">IF(Q93="","OK","CHECK")</f>
        <v>OK</v>
      </c>
    </row>
    <row r="94" customFormat="false" ht="15" hidden="false" customHeight="false" outlineLevel="0" collapsed="false">
      <c r="A94" s="12" t="s">
        <v>364</v>
      </c>
      <c r="B94" s="30" t="n">
        <v>45809</v>
      </c>
      <c r="C94" s="12" t="s">
        <v>257</v>
      </c>
      <c r="D94" s="12" t="s">
        <v>258</v>
      </c>
      <c r="E94" s="12" t="s">
        <v>70</v>
      </c>
      <c r="F94" s="12" t="s">
        <v>110</v>
      </c>
      <c r="G94" s="23" t="n">
        <v>16</v>
      </c>
      <c r="H94" s="22" t="n">
        <v>1750.93</v>
      </c>
      <c r="I94" s="15" t="str">
        <f aca="false">UPPER(TRIM(F94))</f>
        <v>PC-RCP-1200</v>
      </c>
      <c r="J94" s="15" t="str">
        <f aca="false">IFERROR(INDEX(Items!$C$2:$C$500,MATCH(I94,Items!$H$2:$H$500,0)),"UNKNOWN")</f>
        <v>Pipe</v>
      </c>
      <c r="K94" s="24" t="n">
        <f aca="false">IF(J94="UNKNOWN","",INDEX(Items!$F$2:$F$500,MATCH(I94,Items!$H$2:$H$500,0)))</f>
        <v>1890</v>
      </c>
      <c r="L94" s="24" t="n">
        <f aca="false">IF(ISNUMBER(H94),G94*H94,"")</f>
        <v>28014.88</v>
      </c>
      <c r="M94" s="28" t="n">
        <f aca="false">IF(ISNUMBER(H94),G94,0)</f>
        <v>16</v>
      </c>
      <c r="N94" s="31" t="n">
        <f aca="false">IF(AND(ISNUMBER(H94),ISNUMBER(K94)),1-H94/K94,"")</f>
        <v>0.0735820105820105</v>
      </c>
      <c r="O94" s="24" t="n">
        <f aca="false">IF(J94="UNKNOWN","",INDEX(Cost_Rollup!$F$5:$F$16,MATCH(I94,Cost_Rollup!$A$5:$A$16,0)))</f>
        <v>1206.4054</v>
      </c>
      <c r="P94" s="24" t="n">
        <f aca="false">IF(AND(ISNUMBER(L94),ISNUMBER(O94)),G94*O94,"")</f>
        <v>19302.4864</v>
      </c>
      <c r="Q94" s="15" t="str">
        <f aca="false">IF(H94="","Missing price; ","")&amp;IF(J94="UNKNOWN","Unknown item; ","")&amp;IF(AND(ISNUMBER(N94),N94&gt;Discount_Threshold),"Discount above limit; ","")</f>
        <v/>
      </c>
      <c r="R94" s="15" t="str">
        <f aca="false">IF(Q94="","OK","CHECK")</f>
        <v>OK</v>
      </c>
    </row>
    <row r="95" customFormat="false" ht="15" hidden="false" customHeight="false" outlineLevel="0" collapsed="false">
      <c r="A95" s="12" t="s">
        <v>365</v>
      </c>
      <c r="B95" s="30" t="n">
        <v>45815</v>
      </c>
      <c r="C95" s="12" t="s">
        <v>279</v>
      </c>
      <c r="D95" s="12" t="s">
        <v>280</v>
      </c>
      <c r="E95" s="12" t="s">
        <v>147</v>
      </c>
      <c r="F95" s="12" t="s">
        <v>129</v>
      </c>
      <c r="G95" s="23" t="n">
        <v>10</v>
      </c>
      <c r="H95" s="22" t="n">
        <v>2395.65</v>
      </c>
      <c r="I95" s="15" t="str">
        <f aca="false">UPPER(TRIM(F95))</f>
        <v>PC-BAR-SS60</v>
      </c>
      <c r="J95" s="15" t="str">
        <f aca="false">IFERROR(INDEX(Items!$C$2:$C$500,MATCH(I95,Items!$H$2:$H$500,0)),"UNKNOWN")</f>
        <v>Barrier</v>
      </c>
      <c r="K95" s="24" t="n">
        <f aca="false">IF(J95="UNKNOWN","",INDEX(Items!$F$2:$F$500,MATCH(I95,Items!$H$2:$H$500,0)))</f>
        <v>2350</v>
      </c>
      <c r="L95" s="24" t="n">
        <f aca="false">IF(ISNUMBER(H95),G95*H95,"")</f>
        <v>23956.5</v>
      </c>
      <c r="M95" s="28" t="n">
        <f aca="false">IF(ISNUMBER(H95),G95,0)</f>
        <v>10</v>
      </c>
      <c r="N95" s="31" t="n">
        <f aca="false">IF(AND(ISNUMBER(H95),ISNUMBER(K95)),1-H95/K95,"")</f>
        <v>-0.0194255319148937</v>
      </c>
      <c r="O95" s="24" t="n">
        <f aca="false">IF(J95="UNKNOWN","",INDEX(Cost_Rollup!$F$5:$F$16,MATCH(I95,Cost_Rollup!$A$5:$A$16,0)))</f>
        <v>1583.5454</v>
      </c>
      <c r="P95" s="24" t="n">
        <f aca="false">IF(AND(ISNUMBER(L95),ISNUMBER(O95)),G95*O95,"")</f>
        <v>15835.454</v>
      </c>
      <c r="Q95" s="15" t="str">
        <f aca="false">IF(H95="","Missing price; ","")&amp;IF(J95="UNKNOWN","Unknown item; ","")&amp;IF(AND(ISNUMBER(N95),N95&gt;Discount_Threshold),"Discount above limit; ","")</f>
        <v/>
      </c>
      <c r="R95" s="15" t="str">
        <f aca="false">IF(Q95="","OK","CHECK")</f>
        <v>OK</v>
      </c>
    </row>
    <row r="96" customFormat="false" ht="15" hidden="false" customHeight="false" outlineLevel="0" collapsed="false">
      <c r="A96" s="12" t="s">
        <v>366</v>
      </c>
      <c r="B96" s="30" t="n">
        <v>45820</v>
      </c>
      <c r="C96" s="12" t="s">
        <v>268</v>
      </c>
      <c r="D96" s="12" t="s">
        <v>269</v>
      </c>
      <c r="E96" s="12" t="s">
        <v>70</v>
      </c>
      <c r="F96" s="12" t="s">
        <v>120</v>
      </c>
      <c r="G96" s="23" t="n">
        <v>2</v>
      </c>
      <c r="H96" s="22" t="n">
        <v>518.59</v>
      </c>
      <c r="I96" s="15" t="str">
        <f aca="false">UPPER(TRIM(F96))</f>
        <v>PC-MH-1200R</v>
      </c>
      <c r="J96" s="15" t="str">
        <f aca="false">IFERROR(INDEX(Items!$C$2:$C$500,MATCH(I96,Items!$H$2:$H$500,0)),"UNKNOWN")</f>
        <v>Manhole</v>
      </c>
      <c r="K96" s="24" t="n">
        <f aca="false">IF(J96="UNKNOWN","",INDEX(Items!$F$2:$F$500,MATCH(I96,Items!$H$2:$H$500,0)))</f>
        <v>520</v>
      </c>
      <c r="L96" s="24" t="n">
        <f aca="false">IF(ISNUMBER(H96),G96*H96,"")</f>
        <v>1037.18</v>
      </c>
      <c r="M96" s="28" t="n">
        <f aca="false">IF(ISNUMBER(H96),G96,0)</f>
        <v>2</v>
      </c>
      <c r="N96" s="31" t="n">
        <f aca="false">IF(AND(ISNUMBER(H96),ISNUMBER(K96)),1-H96/K96,"")</f>
        <v>0.00271153846153838</v>
      </c>
      <c r="O96" s="24" t="n">
        <f aca="false">IF(J96="UNKNOWN","",INDEX(Cost_Rollup!$F$5:$F$16,MATCH(I96,Cost_Rollup!$A$5:$A$16,0)))</f>
        <v>381.98428</v>
      </c>
      <c r="P96" s="24" t="n">
        <f aca="false">IF(AND(ISNUMBER(L96),ISNUMBER(O96)),G96*O96,"")</f>
        <v>763.96856</v>
      </c>
      <c r="Q96" s="15" t="str">
        <f aca="false">IF(H96="","Missing price; ","")&amp;IF(J96="UNKNOWN","Unknown item; ","")&amp;IF(AND(ISNUMBER(N96),N96&gt;Discount_Threshold),"Discount above limit; ","")</f>
        <v/>
      </c>
      <c r="R96" s="15" t="str">
        <f aca="false">IF(Q96="","OK","CHECK")</f>
        <v>OK</v>
      </c>
    </row>
    <row r="97" customFormat="false" ht="15" hidden="false" customHeight="false" outlineLevel="0" collapsed="false">
      <c r="A97" s="12" t="s">
        <v>367</v>
      </c>
      <c r="B97" s="30" t="n">
        <v>45823</v>
      </c>
      <c r="C97" s="12" t="s">
        <v>285</v>
      </c>
      <c r="D97" s="12" t="s">
        <v>266</v>
      </c>
      <c r="E97" s="12" t="s">
        <v>70</v>
      </c>
      <c r="F97" s="12" t="s">
        <v>129</v>
      </c>
      <c r="G97" s="23" t="n">
        <v>36</v>
      </c>
      <c r="H97" s="22" t="n">
        <v>2341.93</v>
      </c>
      <c r="I97" s="15" t="str">
        <f aca="false">UPPER(TRIM(F97))</f>
        <v>PC-BAR-SS60</v>
      </c>
      <c r="J97" s="15" t="str">
        <f aca="false">IFERROR(INDEX(Items!$C$2:$C$500,MATCH(I97,Items!$H$2:$H$500,0)),"UNKNOWN")</f>
        <v>Barrier</v>
      </c>
      <c r="K97" s="24" t="n">
        <f aca="false">IF(J97="UNKNOWN","",INDEX(Items!$F$2:$F$500,MATCH(I97,Items!$H$2:$H$500,0)))</f>
        <v>2350</v>
      </c>
      <c r="L97" s="24" t="n">
        <f aca="false">IF(ISNUMBER(H97),G97*H97,"")</f>
        <v>84309.48</v>
      </c>
      <c r="M97" s="28" t="n">
        <f aca="false">IF(ISNUMBER(H97),G97,0)</f>
        <v>36</v>
      </c>
      <c r="N97" s="31" t="n">
        <f aca="false">IF(AND(ISNUMBER(H97),ISNUMBER(K97)),1-H97/K97,"")</f>
        <v>0.00343404255319157</v>
      </c>
      <c r="O97" s="24" t="n">
        <f aca="false">IF(J97="UNKNOWN","",INDEX(Cost_Rollup!$F$5:$F$16,MATCH(I97,Cost_Rollup!$A$5:$A$16,0)))</f>
        <v>1583.5454</v>
      </c>
      <c r="P97" s="24" t="n">
        <f aca="false">IF(AND(ISNUMBER(L97),ISNUMBER(O97)),G97*O97,"")</f>
        <v>57007.6344</v>
      </c>
      <c r="Q97" s="15" t="str">
        <f aca="false">IF(H97="","Missing price; ","")&amp;IF(J97="UNKNOWN","Unknown item; ","")&amp;IF(AND(ISNUMBER(N97),N97&gt;Discount_Threshold),"Discount above limit; ","")</f>
        <v/>
      </c>
      <c r="R97" s="15" t="str">
        <f aca="false">IF(Q97="","OK","CHECK")</f>
        <v>OK</v>
      </c>
    </row>
    <row r="98" customFormat="false" ht="15" hidden="false" customHeight="false" outlineLevel="0" collapsed="false">
      <c r="A98" s="12" t="s">
        <v>368</v>
      </c>
      <c r="B98" s="30" t="n">
        <v>45823</v>
      </c>
      <c r="C98" s="12" t="s">
        <v>268</v>
      </c>
      <c r="D98" s="12" t="s">
        <v>269</v>
      </c>
      <c r="E98" s="12" t="s">
        <v>70</v>
      </c>
      <c r="F98" s="12" t="s">
        <v>129</v>
      </c>
      <c r="G98" s="23" t="n">
        <v>9</v>
      </c>
      <c r="H98" s="22" t="n">
        <v>2210.75</v>
      </c>
      <c r="I98" s="15" t="str">
        <f aca="false">UPPER(TRIM(F98))</f>
        <v>PC-BAR-SS60</v>
      </c>
      <c r="J98" s="15" t="str">
        <f aca="false">IFERROR(INDEX(Items!$C$2:$C$500,MATCH(I98,Items!$H$2:$H$500,0)),"UNKNOWN")</f>
        <v>Barrier</v>
      </c>
      <c r="K98" s="24" t="n">
        <f aca="false">IF(J98="UNKNOWN","",INDEX(Items!$F$2:$F$500,MATCH(I98,Items!$H$2:$H$500,0)))</f>
        <v>2350</v>
      </c>
      <c r="L98" s="24" t="n">
        <f aca="false">IF(ISNUMBER(H98),G98*H98,"")</f>
        <v>19896.75</v>
      </c>
      <c r="M98" s="28" t="n">
        <f aca="false">IF(ISNUMBER(H98),G98,0)</f>
        <v>9</v>
      </c>
      <c r="N98" s="31" t="n">
        <f aca="false">IF(AND(ISNUMBER(H98),ISNUMBER(K98)),1-H98/K98,"")</f>
        <v>0.0592553191489362</v>
      </c>
      <c r="O98" s="24" t="n">
        <f aca="false">IF(J98="UNKNOWN","",INDEX(Cost_Rollup!$F$5:$F$16,MATCH(I98,Cost_Rollup!$A$5:$A$16,0)))</f>
        <v>1583.5454</v>
      </c>
      <c r="P98" s="24" t="n">
        <f aca="false">IF(AND(ISNUMBER(L98),ISNUMBER(O98)),G98*O98,"")</f>
        <v>14251.9086</v>
      </c>
      <c r="Q98" s="15" t="str">
        <f aca="false">IF(H98="","Missing price; ","")&amp;IF(J98="UNKNOWN","Unknown item; ","")&amp;IF(AND(ISNUMBER(N98),N98&gt;Discount_Threshold),"Discount above limit; ","")</f>
        <v/>
      </c>
      <c r="R98" s="15" t="str">
        <f aca="false">IF(Q98="","OK","CHECK")</f>
        <v>OK</v>
      </c>
    </row>
    <row r="99" customFormat="false" ht="15" hidden="false" customHeight="false" outlineLevel="0" collapsed="false">
      <c r="A99" s="12" t="s">
        <v>369</v>
      </c>
      <c r="B99" s="30" t="n">
        <v>45823</v>
      </c>
      <c r="C99" s="12" t="s">
        <v>273</v>
      </c>
      <c r="D99" s="12" t="s">
        <v>274</v>
      </c>
      <c r="E99" s="12" t="s">
        <v>147</v>
      </c>
      <c r="F99" s="12" t="s">
        <v>103</v>
      </c>
      <c r="G99" s="23" t="n">
        <v>19</v>
      </c>
      <c r="H99" s="22" t="n">
        <v>598.33</v>
      </c>
      <c r="I99" s="15" t="str">
        <f aca="false">UPPER(TRIM(F99))</f>
        <v>PC-RCP-0600</v>
      </c>
      <c r="J99" s="15" t="str">
        <f aca="false">IFERROR(INDEX(Items!$C$2:$C$500,MATCH(I99,Items!$H$2:$H$500,0)),"UNKNOWN")</f>
        <v>Pipe</v>
      </c>
      <c r="K99" s="24" t="n">
        <f aca="false">IF(J99="UNKNOWN","",INDEX(Items!$F$2:$F$500,MATCH(I99,Items!$H$2:$H$500,0)))</f>
        <v>640</v>
      </c>
      <c r="L99" s="24" t="n">
        <f aca="false">IF(ISNUMBER(H99),G99*H99,"")</f>
        <v>11368.27</v>
      </c>
      <c r="M99" s="28" t="n">
        <f aca="false">IF(ISNUMBER(H99),G99,0)</f>
        <v>19</v>
      </c>
      <c r="N99" s="31" t="n">
        <f aca="false">IF(AND(ISNUMBER(H99),ISNUMBER(K99)),1-H99/K99,"")</f>
        <v>0.0651093749999999</v>
      </c>
      <c r="O99" s="24" t="n">
        <f aca="false">IF(J99="UNKNOWN","",INDEX(Cost_Rollup!$F$5:$F$16,MATCH(I99,Cost_Rollup!$A$5:$A$16,0)))</f>
        <v>429.94832</v>
      </c>
      <c r="P99" s="24" t="n">
        <f aca="false">IF(AND(ISNUMBER(L99),ISNUMBER(O99)),G99*O99,"")</f>
        <v>8169.01808</v>
      </c>
      <c r="Q99" s="15" t="str">
        <f aca="false">IF(H99="","Missing price; ","")&amp;IF(J99="UNKNOWN","Unknown item; ","")&amp;IF(AND(ISNUMBER(N99),N99&gt;Discount_Threshold),"Discount above limit; ","")</f>
        <v/>
      </c>
      <c r="R99" s="15" t="str">
        <f aca="false">IF(Q99="","OK","CHECK")</f>
        <v>OK</v>
      </c>
    </row>
    <row r="100" customFormat="false" ht="15" hidden="false" customHeight="false" outlineLevel="0" collapsed="false">
      <c r="A100" s="12" t="s">
        <v>370</v>
      </c>
      <c r="B100" s="30" t="n">
        <v>45824</v>
      </c>
      <c r="C100" s="12" t="s">
        <v>292</v>
      </c>
      <c r="D100" s="12" t="s">
        <v>277</v>
      </c>
      <c r="E100" s="12" t="s">
        <v>70</v>
      </c>
      <c r="F100" s="12" t="s">
        <v>115</v>
      </c>
      <c r="G100" s="23" t="n">
        <v>5</v>
      </c>
      <c r="H100" s="22" t="n">
        <v>890.63</v>
      </c>
      <c r="I100" s="15" t="str">
        <f aca="false">UPPER(TRIM(F100))</f>
        <v>PC-MH-1050B</v>
      </c>
      <c r="J100" s="15" t="str">
        <f aca="false">IFERROR(INDEX(Items!$C$2:$C$500,MATCH(I100,Items!$H$2:$H$500,0)),"UNKNOWN")</f>
        <v>Manhole</v>
      </c>
      <c r="K100" s="24" t="n">
        <f aca="false">IF(J100="UNKNOWN","",INDEX(Items!$F$2:$F$500,MATCH(I100,Items!$H$2:$H$500,0)))</f>
        <v>980</v>
      </c>
      <c r="L100" s="24" t="n">
        <f aca="false">IF(ISNUMBER(H100),G100*H100,"")</f>
        <v>4453.15</v>
      </c>
      <c r="M100" s="28" t="n">
        <f aca="false">IF(ISNUMBER(H100),G100,0)</f>
        <v>5</v>
      </c>
      <c r="N100" s="31" t="n">
        <f aca="false">IF(AND(ISNUMBER(H100),ISNUMBER(K100)),1-H100/K100,"")</f>
        <v>0.0911938775510204</v>
      </c>
      <c r="O100" s="24" t="n">
        <f aca="false">IF(J100="UNKNOWN","",INDEX(Cost_Rollup!$F$5:$F$16,MATCH(I100,Cost_Rollup!$A$5:$A$16,0)))</f>
        <v>635.433</v>
      </c>
      <c r="P100" s="24" t="n">
        <f aca="false">IF(AND(ISNUMBER(L100),ISNUMBER(O100)),G100*O100,"")</f>
        <v>3177.165</v>
      </c>
      <c r="Q100" s="15" t="str">
        <f aca="false">IF(H100="","Missing price; ","")&amp;IF(J100="UNKNOWN","Unknown item; ","")&amp;IF(AND(ISNUMBER(N100),N100&gt;Discount_Threshold),"Discount above limit; ","")</f>
        <v/>
      </c>
      <c r="R100" s="15" t="str">
        <f aca="false">IF(Q100="","OK","CHECK")</f>
        <v>OK</v>
      </c>
    </row>
    <row r="101" customFormat="false" ht="15" hidden="false" customHeight="false" outlineLevel="0" collapsed="false">
      <c r="A101" s="12" t="s">
        <v>371</v>
      </c>
      <c r="B101" s="30" t="n">
        <v>45825</v>
      </c>
      <c r="C101" s="12" t="s">
        <v>279</v>
      </c>
      <c r="D101" s="12" t="s">
        <v>280</v>
      </c>
      <c r="E101" s="12" t="s">
        <v>147</v>
      </c>
      <c r="F101" s="12" t="s">
        <v>108</v>
      </c>
      <c r="G101" s="23" t="n">
        <v>18</v>
      </c>
      <c r="H101" s="22" t="n">
        <v>1145.98</v>
      </c>
      <c r="I101" s="15" t="str">
        <f aca="false">UPPER(TRIM(F101))</f>
        <v>PC-RCP-0900</v>
      </c>
      <c r="J101" s="15" t="str">
        <f aca="false">IFERROR(INDEX(Items!$C$2:$C$500,MATCH(I101,Items!$H$2:$H$500,0)),"UNKNOWN")</f>
        <v>Pipe</v>
      </c>
      <c r="K101" s="24" t="n">
        <f aca="false">IF(J101="UNKNOWN","",INDEX(Items!$F$2:$F$500,MATCH(I101,Items!$H$2:$H$500,0)))</f>
        <v>1150</v>
      </c>
      <c r="L101" s="24" t="n">
        <f aca="false">IF(ISNUMBER(H101),G101*H101,"")</f>
        <v>20627.64</v>
      </c>
      <c r="M101" s="28" t="n">
        <f aca="false">IF(ISNUMBER(H101),G101,0)</f>
        <v>18</v>
      </c>
      <c r="N101" s="31" t="n">
        <f aca="false">IF(AND(ISNUMBER(H101),ISNUMBER(K101)),1-H101/K101,"")</f>
        <v>0.00349565217391301</v>
      </c>
      <c r="O101" s="24" t="n">
        <f aca="false">IF(J101="UNKNOWN","",INDEX(Cost_Rollup!$F$5:$F$16,MATCH(I101,Cost_Rollup!$A$5:$A$16,0)))</f>
        <v>750.4337265687</v>
      </c>
      <c r="P101" s="24" t="n">
        <f aca="false">IF(AND(ISNUMBER(L101),ISNUMBER(O101)),G101*O101,"")</f>
        <v>13507.8070782366</v>
      </c>
      <c r="Q101" s="15" t="str">
        <f aca="false">IF(H101="","Missing price; ","")&amp;IF(J101="UNKNOWN","Unknown item; ","")&amp;IF(AND(ISNUMBER(N101),N101&gt;Discount_Threshold),"Discount above limit; ","")</f>
        <v/>
      </c>
      <c r="R101" s="15" t="str">
        <f aca="false">IF(Q101="","OK","CHECK")</f>
        <v>OK</v>
      </c>
    </row>
    <row r="102" customFormat="false" ht="15" hidden="false" customHeight="false" outlineLevel="0" collapsed="false">
      <c r="A102" s="12" t="s">
        <v>372</v>
      </c>
      <c r="B102" s="30" t="n">
        <v>45829</v>
      </c>
      <c r="C102" s="12" t="s">
        <v>276</v>
      </c>
      <c r="D102" s="12" t="s">
        <v>277</v>
      </c>
      <c r="E102" s="12" t="s">
        <v>70</v>
      </c>
      <c r="F102" s="12" t="s">
        <v>122</v>
      </c>
      <c r="G102" s="23" t="n">
        <v>9</v>
      </c>
      <c r="H102" s="22" t="n">
        <v>632.6</v>
      </c>
      <c r="I102" s="15" t="str">
        <f aca="false">UPPER(TRIM(F102))</f>
        <v>PC-CB-0600</v>
      </c>
      <c r="J102" s="15" t="str">
        <f aca="false">IFERROR(INDEX(Items!$C$2:$C$500,MATCH(I102,Items!$H$2:$H$500,0)),"UNKNOWN")</f>
        <v>Catch Basin</v>
      </c>
      <c r="K102" s="24" t="n">
        <f aca="false">IF(J102="UNKNOWN","",INDEX(Items!$F$2:$F$500,MATCH(I102,Items!$H$2:$H$500,0)))</f>
        <v>690</v>
      </c>
      <c r="L102" s="24" t="n">
        <f aca="false">IF(ISNUMBER(H102),G102*H102,"")</f>
        <v>5693.4</v>
      </c>
      <c r="M102" s="28" t="n">
        <f aca="false">IF(ISNUMBER(H102),G102,0)</f>
        <v>9</v>
      </c>
      <c r="N102" s="31" t="n">
        <f aca="false">IF(AND(ISNUMBER(H102),ISNUMBER(K102)),1-H102/K102,"")</f>
        <v>0.0831884057971014</v>
      </c>
      <c r="O102" s="24" t="n">
        <f aca="false">IF(J102="UNKNOWN","",INDEX(Cost_Rollup!$F$5:$F$16,MATCH(I102,Cost_Rollup!$A$5:$A$16,0)))</f>
        <v>471.0488</v>
      </c>
      <c r="P102" s="24" t="n">
        <f aca="false">IF(AND(ISNUMBER(L102),ISNUMBER(O102)),G102*O102,"")</f>
        <v>4239.4392</v>
      </c>
      <c r="Q102" s="15" t="str">
        <f aca="false">IF(H102="","Missing price; ","")&amp;IF(J102="UNKNOWN","Unknown item; ","")&amp;IF(AND(ISNUMBER(N102),N102&gt;Discount_Threshold),"Discount above limit; ","")</f>
        <v/>
      </c>
      <c r="R102" s="15" t="str">
        <f aca="false">IF(Q102="","OK","CHECK")</f>
        <v>OK</v>
      </c>
    </row>
    <row r="103" customFormat="false" ht="15" hidden="false" customHeight="false" outlineLevel="0" collapsed="false">
      <c r="A103" s="12" t="s">
        <v>373</v>
      </c>
      <c r="B103" s="30" t="n">
        <v>45829</v>
      </c>
      <c r="C103" s="12" t="s">
        <v>257</v>
      </c>
      <c r="D103" s="12" t="s">
        <v>258</v>
      </c>
      <c r="E103" s="12" t="s">
        <v>70</v>
      </c>
      <c r="F103" s="12" t="s">
        <v>131</v>
      </c>
      <c r="G103" s="23" t="n">
        <v>240</v>
      </c>
      <c r="H103" s="22" t="n">
        <v>115</v>
      </c>
      <c r="I103" s="15" t="str">
        <f aca="false">UPPER(TRIM(F103))</f>
        <v>PC-HC-200</v>
      </c>
      <c r="J103" s="15" t="str">
        <f aca="false">IFERROR(INDEX(Items!$C$2:$C$500,MATCH(I103,Items!$H$2:$H$500,0)),"UNKNOWN")</f>
        <v>Slab</v>
      </c>
      <c r="K103" s="24" t="n">
        <f aca="false">IF(J103="UNKNOWN","",INDEX(Items!$F$2:$F$500,MATCH(I103,Items!$H$2:$H$500,0)))</f>
        <v>118</v>
      </c>
      <c r="L103" s="24" t="n">
        <f aca="false">IF(ISNUMBER(H103),G103*H103,"")</f>
        <v>27600</v>
      </c>
      <c r="M103" s="28" t="n">
        <f aca="false">IF(ISNUMBER(H103),G103,0)</f>
        <v>240</v>
      </c>
      <c r="N103" s="31" t="n">
        <f aca="false">IF(AND(ISNUMBER(H103),ISNUMBER(K103)),1-H103/K103,"")</f>
        <v>0.0254237288135594</v>
      </c>
      <c r="O103" s="24" t="n">
        <f aca="false">IF(J103="UNKNOWN","",INDEX(Cost_Rollup!$F$5:$F$16,MATCH(I103,Cost_Rollup!$A$5:$A$16,0)))</f>
        <v>78.89382</v>
      </c>
      <c r="P103" s="24" t="n">
        <f aca="false">IF(AND(ISNUMBER(L103),ISNUMBER(O103)),G103*O103,"")</f>
        <v>18934.5168</v>
      </c>
      <c r="Q103" s="15" t="str">
        <f aca="false">IF(H103="","Missing price; ","")&amp;IF(J103="UNKNOWN","Unknown item; ","")&amp;IF(AND(ISNUMBER(N103),N103&gt;Discount_Threshold),"Discount above limit; ","")</f>
        <v/>
      </c>
      <c r="R103" s="15" t="str">
        <f aca="false">IF(Q103="","OK","CHECK")</f>
        <v>OK</v>
      </c>
    </row>
    <row r="104" customFormat="false" ht="15" hidden="false" customHeight="false" outlineLevel="0" collapsed="false">
      <c r="A104" s="12" t="s">
        <v>374</v>
      </c>
      <c r="B104" s="30" t="n">
        <v>45830</v>
      </c>
      <c r="C104" s="12" t="s">
        <v>268</v>
      </c>
      <c r="D104" s="12" t="s">
        <v>269</v>
      </c>
      <c r="E104" s="12" t="s">
        <v>70</v>
      </c>
      <c r="F104" s="12" t="s">
        <v>122</v>
      </c>
      <c r="G104" s="23" t="n">
        <v>7</v>
      </c>
      <c r="H104" s="22" t="n">
        <v>709.29</v>
      </c>
      <c r="I104" s="15" t="str">
        <f aca="false">UPPER(TRIM(F104))</f>
        <v>PC-CB-0600</v>
      </c>
      <c r="J104" s="15" t="str">
        <f aca="false">IFERROR(INDEX(Items!$C$2:$C$500,MATCH(I104,Items!$H$2:$H$500,0)),"UNKNOWN")</f>
        <v>Catch Basin</v>
      </c>
      <c r="K104" s="24" t="n">
        <f aca="false">IF(J104="UNKNOWN","",INDEX(Items!$F$2:$F$500,MATCH(I104,Items!$H$2:$H$500,0)))</f>
        <v>690</v>
      </c>
      <c r="L104" s="24" t="n">
        <f aca="false">IF(ISNUMBER(H104),G104*H104,"")</f>
        <v>4965.03</v>
      </c>
      <c r="M104" s="28" t="n">
        <f aca="false">IF(ISNUMBER(H104),G104,0)</f>
        <v>7</v>
      </c>
      <c r="N104" s="31" t="n">
        <f aca="false">IF(AND(ISNUMBER(H104),ISNUMBER(K104)),1-H104/K104,"")</f>
        <v>-0.0279565217391304</v>
      </c>
      <c r="O104" s="24" t="n">
        <f aca="false">IF(J104="UNKNOWN","",INDEX(Cost_Rollup!$F$5:$F$16,MATCH(I104,Cost_Rollup!$A$5:$A$16,0)))</f>
        <v>471.0488</v>
      </c>
      <c r="P104" s="24" t="n">
        <f aca="false">IF(AND(ISNUMBER(L104),ISNUMBER(O104)),G104*O104,"")</f>
        <v>3297.3416</v>
      </c>
      <c r="Q104" s="15" t="str">
        <f aca="false">IF(H104="","Missing price; ","")&amp;IF(J104="UNKNOWN","Unknown item; ","")&amp;IF(AND(ISNUMBER(N104),N104&gt;Discount_Threshold),"Discount above limit; ","")</f>
        <v/>
      </c>
      <c r="R104" s="15" t="str">
        <f aca="false">IF(Q104="","OK","CHECK")</f>
        <v>OK</v>
      </c>
    </row>
    <row r="105" customFormat="false" ht="15" hidden="false" customHeight="false" outlineLevel="0" collapsed="false">
      <c r="A105" s="12" t="s">
        <v>375</v>
      </c>
      <c r="B105" s="30" t="n">
        <v>45830</v>
      </c>
      <c r="C105" s="12" t="s">
        <v>279</v>
      </c>
      <c r="D105" s="12" t="s">
        <v>280</v>
      </c>
      <c r="E105" s="12" t="s">
        <v>147</v>
      </c>
      <c r="F105" s="12" t="s">
        <v>108</v>
      </c>
      <c r="G105" s="23" t="n">
        <v>30</v>
      </c>
      <c r="H105" s="22" t="n">
        <v>1151.99</v>
      </c>
      <c r="I105" s="15" t="str">
        <f aca="false">UPPER(TRIM(F105))</f>
        <v>PC-RCP-0900</v>
      </c>
      <c r="J105" s="15" t="str">
        <f aca="false">IFERROR(INDEX(Items!$C$2:$C$500,MATCH(I105,Items!$H$2:$H$500,0)),"UNKNOWN")</f>
        <v>Pipe</v>
      </c>
      <c r="K105" s="24" t="n">
        <f aca="false">IF(J105="UNKNOWN","",INDEX(Items!$F$2:$F$500,MATCH(I105,Items!$H$2:$H$500,0)))</f>
        <v>1150</v>
      </c>
      <c r="L105" s="24" t="n">
        <f aca="false">IF(ISNUMBER(H105),G105*H105,"")</f>
        <v>34559.7</v>
      </c>
      <c r="M105" s="28" t="n">
        <f aca="false">IF(ISNUMBER(H105),G105,0)</f>
        <v>30</v>
      </c>
      <c r="N105" s="31" t="n">
        <f aca="false">IF(AND(ISNUMBER(H105),ISNUMBER(K105)),1-H105/K105,"")</f>
        <v>-0.00173043478260881</v>
      </c>
      <c r="O105" s="24" t="n">
        <f aca="false">IF(J105="UNKNOWN","",INDEX(Cost_Rollup!$F$5:$F$16,MATCH(I105,Cost_Rollup!$A$5:$A$16,0)))</f>
        <v>750.4337265687</v>
      </c>
      <c r="P105" s="24" t="n">
        <f aca="false">IF(AND(ISNUMBER(L105),ISNUMBER(O105)),G105*O105,"")</f>
        <v>22513.011797061</v>
      </c>
      <c r="Q105" s="15" t="str">
        <f aca="false">IF(H105="","Missing price; ","")&amp;IF(J105="UNKNOWN","Unknown item; ","")&amp;IF(AND(ISNUMBER(N105),N105&gt;Discount_Threshold),"Discount above limit; ","")</f>
        <v/>
      </c>
      <c r="R105" s="15" t="str">
        <f aca="false">IF(Q105="","OK","CHECK")</f>
        <v>OK</v>
      </c>
    </row>
    <row r="106" customFormat="false" ht="15" hidden="false" customHeight="false" outlineLevel="0" collapsed="false">
      <c r="A106" s="12" t="s">
        <v>376</v>
      </c>
      <c r="B106" s="30" t="n">
        <v>45830</v>
      </c>
      <c r="C106" s="12" t="s">
        <v>268</v>
      </c>
      <c r="D106" s="12" t="s">
        <v>269</v>
      </c>
      <c r="E106" s="12" t="s">
        <v>70</v>
      </c>
      <c r="F106" s="12" t="s">
        <v>103</v>
      </c>
      <c r="G106" s="23" t="n">
        <v>24</v>
      </c>
      <c r="H106" s="22" t="n">
        <v>619.9</v>
      </c>
      <c r="I106" s="15" t="str">
        <f aca="false">UPPER(TRIM(F106))</f>
        <v>PC-RCP-0600</v>
      </c>
      <c r="J106" s="15" t="str">
        <f aca="false">IFERROR(INDEX(Items!$C$2:$C$500,MATCH(I106,Items!$H$2:$H$500,0)),"UNKNOWN")</f>
        <v>Pipe</v>
      </c>
      <c r="K106" s="24" t="n">
        <f aca="false">IF(J106="UNKNOWN","",INDEX(Items!$F$2:$F$500,MATCH(I106,Items!$H$2:$H$500,0)))</f>
        <v>640</v>
      </c>
      <c r="L106" s="24" t="n">
        <f aca="false">IF(ISNUMBER(H106),G106*H106,"")</f>
        <v>14877.6</v>
      </c>
      <c r="M106" s="28" t="n">
        <f aca="false">IF(ISNUMBER(H106),G106,0)</f>
        <v>24</v>
      </c>
      <c r="N106" s="31" t="n">
        <f aca="false">IF(AND(ISNUMBER(H106),ISNUMBER(K106)),1-H106/K106,"")</f>
        <v>0.0314062500000001</v>
      </c>
      <c r="O106" s="24" t="n">
        <f aca="false">IF(J106="UNKNOWN","",INDEX(Cost_Rollup!$F$5:$F$16,MATCH(I106,Cost_Rollup!$A$5:$A$16,0)))</f>
        <v>429.94832</v>
      </c>
      <c r="P106" s="24" t="n">
        <f aca="false">IF(AND(ISNUMBER(L106),ISNUMBER(O106)),G106*O106,"")</f>
        <v>10318.75968</v>
      </c>
      <c r="Q106" s="15" t="str">
        <f aca="false">IF(H106="","Missing price; ","")&amp;IF(J106="UNKNOWN","Unknown item; ","")&amp;IF(AND(ISNUMBER(N106),N106&gt;Discount_Threshold),"Discount above limit; ","")</f>
        <v/>
      </c>
      <c r="R106" s="15" t="str">
        <f aca="false">IF(Q106="","OK","CHECK")</f>
        <v>OK</v>
      </c>
    </row>
    <row r="107" customFormat="false" ht="15" hidden="false" customHeight="false" outlineLevel="0" collapsed="false">
      <c r="A107" s="12" t="s">
        <v>377</v>
      </c>
      <c r="B107" s="30" t="n">
        <v>45831</v>
      </c>
      <c r="C107" s="12" t="s">
        <v>260</v>
      </c>
      <c r="D107" s="12" t="s">
        <v>258</v>
      </c>
      <c r="E107" s="12" t="s">
        <v>70</v>
      </c>
      <c r="F107" s="12" t="s">
        <v>118</v>
      </c>
      <c r="G107" s="23" t="n">
        <v>5</v>
      </c>
      <c r="H107" s="22" t="n">
        <v>1262.03</v>
      </c>
      <c r="I107" s="15" t="str">
        <f aca="false">UPPER(TRIM(F107))</f>
        <v>PC-MH-1200B</v>
      </c>
      <c r="J107" s="15" t="str">
        <f aca="false">IFERROR(INDEX(Items!$C$2:$C$500,MATCH(I107,Items!$H$2:$H$500,0)),"UNKNOWN")</f>
        <v>Manhole</v>
      </c>
      <c r="K107" s="24" t="n">
        <f aca="false">IF(J107="UNKNOWN","",INDEX(Items!$F$2:$F$500,MATCH(I107,Items!$H$2:$H$500,0)))</f>
        <v>1240</v>
      </c>
      <c r="L107" s="24" t="n">
        <f aca="false">IF(ISNUMBER(H107),G107*H107,"")</f>
        <v>6310.15</v>
      </c>
      <c r="M107" s="28" t="n">
        <f aca="false">IF(ISNUMBER(H107),G107,0)</f>
        <v>5</v>
      </c>
      <c r="N107" s="31" t="n">
        <f aca="false">IF(AND(ISNUMBER(H107),ISNUMBER(K107)),1-H107/K107,"")</f>
        <v>-0.0177661290322579</v>
      </c>
      <c r="O107" s="24" t="n">
        <f aca="false">IF(J107="UNKNOWN","",INDEX(Cost_Rollup!$F$5:$F$16,MATCH(I107,Cost_Rollup!$A$5:$A$16,0)))</f>
        <v>753.4208</v>
      </c>
      <c r="P107" s="24" t="n">
        <f aca="false">IF(AND(ISNUMBER(L107),ISNUMBER(O107)),G107*O107,"")</f>
        <v>3767.104</v>
      </c>
      <c r="Q107" s="15" t="str">
        <f aca="false">IF(H107="","Missing price; ","")&amp;IF(J107="UNKNOWN","Unknown item; ","")&amp;IF(AND(ISNUMBER(N107),N107&gt;Discount_Threshold),"Discount above limit; ","")</f>
        <v/>
      </c>
      <c r="R107" s="15" t="str">
        <f aca="false">IF(Q107="","OK","CHECK")</f>
        <v>OK</v>
      </c>
    </row>
    <row r="108" customFormat="false" ht="15" hidden="false" customHeight="false" outlineLevel="0" collapsed="false">
      <c r="A108" s="12" t="s">
        <v>378</v>
      </c>
      <c r="B108" s="30" t="n">
        <v>45834</v>
      </c>
      <c r="C108" s="12" t="s">
        <v>292</v>
      </c>
      <c r="D108" s="12" t="s">
        <v>277</v>
      </c>
      <c r="E108" s="12" t="s">
        <v>70</v>
      </c>
      <c r="F108" s="12" t="s">
        <v>115</v>
      </c>
      <c r="G108" s="23" t="n">
        <v>8</v>
      </c>
      <c r="H108" s="22" t="n">
        <v>915.2</v>
      </c>
      <c r="I108" s="15" t="str">
        <f aca="false">UPPER(TRIM(F108))</f>
        <v>PC-MH-1050B</v>
      </c>
      <c r="J108" s="15" t="str">
        <f aca="false">IFERROR(INDEX(Items!$C$2:$C$500,MATCH(I108,Items!$H$2:$H$500,0)),"UNKNOWN")</f>
        <v>Manhole</v>
      </c>
      <c r="K108" s="24" t="n">
        <f aca="false">IF(J108="UNKNOWN","",INDEX(Items!$F$2:$F$500,MATCH(I108,Items!$H$2:$H$500,0)))</f>
        <v>980</v>
      </c>
      <c r="L108" s="24" t="n">
        <f aca="false">IF(ISNUMBER(H108),G108*H108,"")</f>
        <v>7321.6</v>
      </c>
      <c r="M108" s="28" t="n">
        <f aca="false">IF(ISNUMBER(H108),G108,0)</f>
        <v>8</v>
      </c>
      <c r="N108" s="31" t="n">
        <f aca="false">IF(AND(ISNUMBER(H108),ISNUMBER(K108)),1-H108/K108,"")</f>
        <v>0.0661224489795917</v>
      </c>
      <c r="O108" s="24" t="n">
        <f aca="false">IF(J108="UNKNOWN","",INDEX(Cost_Rollup!$F$5:$F$16,MATCH(I108,Cost_Rollup!$A$5:$A$16,0)))</f>
        <v>635.433</v>
      </c>
      <c r="P108" s="24" t="n">
        <f aca="false">IF(AND(ISNUMBER(L108),ISNUMBER(O108)),G108*O108,"")</f>
        <v>5083.464</v>
      </c>
      <c r="Q108" s="15" t="str">
        <f aca="false">IF(H108="","Missing price; ","")&amp;IF(J108="UNKNOWN","Unknown item; ","")&amp;IF(AND(ISNUMBER(N108),N108&gt;Discount_Threshold),"Discount above limit; ","")</f>
        <v/>
      </c>
      <c r="R108" s="15" t="str">
        <f aca="false">IF(Q108="","OK","CHECK")</f>
        <v>OK</v>
      </c>
    </row>
    <row r="109" customFormat="false" ht="15" hidden="false" customHeight="false" outlineLevel="0" collapsed="false">
      <c r="A109" s="12" t="s">
        <v>379</v>
      </c>
      <c r="B109" s="30" t="n">
        <v>45835</v>
      </c>
      <c r="C109" s="12" t="s">
        <v>260</v>
      </c>
      <c r="D109" s="12" t="s">
        <v>258</v>
      </c>
      <c r="E109" s="12" t="s">
        <v>70</v>
      </c>
      <c r="F109" s="12" t="s">
        <v>131</v>
      </c>
      <c r="G109" s="23" t="n">
        <v>293</v>
      </c>
      <c r="H109" s="22" t="n">
        <v>121.21</v>
      </c>
      <c r="I109" s="15" t="str">
        <f aca="false">UPPER(TRIM(F109))</f>
        <v>PC-HC-200</v>
      </c>
      <c r="J109" s="15" t="str">
        <f aca="false">IFERROR(INDEX(Items!$C$2:$C$500,MATCH(I109,Items!$H$2:$H$500,0)),"UNKNOWN")</f>
        <v>Slab</v>
      </c>
      <c r="K109" s="24" t="n">
        <f aca="false">IF(J109="UNKNOWN","",INDEX(Items!$F$2:$F$500,MATCH(I109,Items!$H$2:$H$500,0)))</f>
        <v>118</v>
      </c>
      <c r="L109" s="24" t="n">
        <f aca="false">IF(ISNUMBER(H109),G109*H109,"")</f>
        <v>35514.53</v>
      </c>
      <c r="M109" s="28" t="n">
        <f aca="false">IF(ISNUMBER(H109),G109,0)</f>
        <v>293</v>
      </c>
      <c r="N109" s="31" t="n">
        <f aca="false">IF(AND(ISNUMBER(H109),ISNUMBER(K109)),1-H109/K109,"")</f>
        <v>-0.0272033898305084</v>
      </c>
      <c r="O109" s="24" t="n">
        <f aca="false">IF(J109="UNKNOWN","",INDEX(Cost_Rollup!$F$5:$F$16,MATCH(I109,Cost_Rollup!$A$5:$A$16,0)))</f>
        <v>78.89382</v>
      </c>
      <c r="P109" s="24" t="n">
        <f aca="false">IF(AND(ISNUMBER(L109),ISNUMBER(O109)),G109*O109,"")</f>
        <v>23115.88926</v>
      </c>
      <c r="Q109" s="15" t="str">
        <f aca="false">IF(H109="","Missing price; ","")&amp;IF(J109="UNKNOWN","Unknown item; ","")&amp;IF(AND(ISNUMBER(N109),N109&gt;Discount_Threshold),"Discount above limit; ","")</f>
        <v/>
      </c>
      <c r="R109" s="15" t="str">
        <f aca="false">IF(Q109="","OK","CHECK")</f>
        <v>OK</v>
      </c>
    </row>
    <row r="110" customFormat="false" ht="15" hidden="false" customHeight="false" outlineLevel="0" collapsed="false">
      <c r="A110" s="12" t="s">
        <v>380</v>
      </c>
      <c r="B110" s="30" t="n">
        <v>45836</v>
      </c>
      <c r="C110" s="12" t="s">
        <v>257</v>
      </c>
      <c r="D110" s="12" t="s">
        <v>258</v>
      </c>
      <c r="E110" s="12" t="s">
        <v>70</v>
      </c>
      <c r="F110" s="12" t="s">
        <v>110</v>
      </c>
      <c r="G110" s="23" t="n">
        <v>6</v>
      </c>
      <c r="H110" s="22" t="n">
        <v>1962.65</v>
      </c>
      <c r="I110" s="15" t="str">
        <f aca="false">UPPER(TRIM(F110))</f>
        <v>PC-RCP-1200</v>
      </c>
      <c r="J110" s="15" t="str">
        <f aca="false">IFERROR(INDEX(Items!$C$2:$C$500,MATCH(I110,Items!$H$2:$H$500,0)),"UNKNOWN")</f>
        <v>Pipe</v>
      </c>
      <c r="K110" s="24" t="n">
        <f aca="false">IF(J110="UNKNOWN","",INDEX(Items!$F$2:$F$500,MATCH(I110,Items!$H$2:$H$500,0)))</f>
        <v>1890</v>
      </c>
      <c r="L110" s="24" t="n">
        <f aca="false">IF(ISNUMBER(H110),G110*H110,"")</f>
        <v>11775.9</v>
      </c>
      <c r="M110" s="28" t="n">
        <f aca="false">IF(ISNUMBER(H110),G110,0)</f>
        <v>6</v>
      </c>
      <c r="N110" s="31" t="n">
        <f aca="false">IF(AND(ISNUMBER(H110),ISNUMBER(K110)),1-H110/K110,"")</f>
        <v>-0.0384391534391535</v>
      </c>
      <c r="O110" s="24" t="n">
        <f aca="false">IF(J110="UNKNOWN","",INDEX(Cost_Rollup!$F$5:$F$16,MATCH(I110,Cost_Rollup!$A$5:$A$16,0)))</f>
        <v>1206.4054</v>
      </c>
      <c r="P110" s="24" t="n">
        <f aca="false">IF(AND(ISNUMBER(L110),ISNUMBER(O110)),G110*O110,"")</f>
        <v>7238.4324</v>
      </c>
      <c r="Q110" s="15" t="str">
        <f aca="false">IF(H110="","Missing price; ","")&amp;IF(J110="UNKNOWN","Unknown item; ","")&amp;IF(AND(ISNUMBER(N110),N110&gt;Discount_Threshold),"Discount above limit; ","")</f>
        <v/>
      </c>
      <c r="R110" s="15" t="str">
        <f aca="false">IF(Q110="","OK","CHECK")</f>
        <v>OK</v>
      </c>
    </row>
    <row r="111" customFormat="false" ht="15" hidden="false" customHeight="false" outlineLevel="0" collapsed="false">
      <c r="A111" s="12" t="s">
        <v>381</v>
      </c>
      <c r="B111" s="30" t="n">
        <v>45836</v>
      </c>
      <c r="C111" s="12" t="s">
        <v>276</v>
      </c>
      <c r="D111" s="12" t="s">
        <v>277</v>
      </c>
      <c r="E111" s="12" t="s">
        <v>70</v>
      </c>
      <c r="F111" s="12" t="s">
        <v>118</v>
      </c>
      <c r="G111" s="23" t="n">
        <v>2</v>
      </c>
      <c r="H111" s="22" t="n">
        <v>1244.91</v>
      </c>
      <c r="I111" s="15" t="str">
        <f aca="false">UPPER(TRIM(F111))</f>
        <v>PC-MH-1200B</v>
      </c>
      <c r="J111" s="15" t="str">
        <f aca="false">IFERROR(INDEX(Items!$C$2:$C$500,MATCH(I111,Items!$H$2:$H$500,0)),"UNKNOWN")</f>
        <v>Manhole</v>
      </c>
      <c r="K111" s="24" t="n">
        <f aca="false">IF(J111="UNKNOWN","",INDEX(Items!$F$2:$F$500,MATCH(I111,Items!$H$2:$H$500,0)))</f>
        <v>1240</v>
      </c>
      <c r="L111" s="24" t="n">
        <f aca="false">IF(ISNUMBER(H111),G111*H111,"")</f>
        <v>2489.82</v>
      </c>
      <c r="M111" s="28" t="n">
        <f aca="false">IF(ISNUMBER(H111),G111,0)</f>
        <v>2</v>
      </c>
      <c r="N111" s="31" t="n">
        <f aca="false">IF(AND(ISNUMBER(H111),ISNUMBER(K111)),1-H111/K111,"")</f>
        <v>-0.00395967741935488</v>
      </c>
      <c r="O111" s="24" t="n">
        <f aca="false">IF(J111="UNKNOWN","",INDEX(Cost_Rollup!$F$5:$F$16,MATCH(I111,Cost_Rollup!$A$5:$A$16,0)))</f>
        <v>753.4208</v>
      </c>
      <c r="P111" s="24" t="n">
        <f aca="false">IF(AND(ISNUMBER(L111),ISNUMBER(O111)),G111*O111,"")</f>
        <v>1506.8416</v>
      </c>
      <c r="Q111" s="15" t="str">
        <f aca="false">IF(H111="","Missing price; ","")&amp;IF(J111="UNKNOWN","Unknown item; ","")&amp;IF(AND(ISNUMBER(N111),N111&gt;Discount_Threshold),"Discount above limit; ","")</f>
        <v/>
      </c>
      <c r="R111" s="15" t="str">
        <f aca="false">IF(Q111="","OK","CHECK")</f>
        <v>OK</v>
      </c>
    </row>
    <row r="112" customFormat="false" ht="15" hidden="false" customHeight="false" outlineLevel="0" collapsed="false">
      <c r="A112" s="12" t="s">
        <v>382</v>
      </c>
      <c r="B112" s="30" t="n">
        <v>45838</v>
      </c>
      <c r="C112" s="12" t="s">
        <v>265</v>
      </c>
      <c r="D112" s="12" t="s">
        <v>266</v>
      </c>
      <c r="E112" s="12" t="s">
        <v>70</v>
      </c>
      <c r="F112" s="12" t="s">
        <v>125</v>
      </c>
      <c r="G112" s="23" t="n">
        <v>8</v>
      </c>
      <c r="H112" s="22" t="n">
        <v>1451.5</v>
      </c>
      <c r="I112" s="15" t="str">
        <f aca="false">UPPER(TRIM(F112))</f>
        <v>PC-BAR-F38</v>
      </c>
      <c r="J112" s="15" t="str">
        <f aca="false">IFERROR(INDEX(Items!$C$2:$C$500,MATCH(I112,Items!$H$2:$H$500,0)),"UNKNOWN")</f>
        <v>Barrier</v>
      </c>
      <c r="K112" s="24" t="n">
        <f aca="false">IF(J112="UNKNOWN","",INDEX(Items!$F$2:$F$500,MATCH(I112,Items!$H$2:$H$500,0)))</f>
        <v>1450</v>
      </c>
      <c r="L112" s="24" t="n">
        <f aca="false">IF(ISNUMBER(H112),G112*H112,"")</f>
        <v>11612</v>
      </c>
      <c r="M112" s="28" t="n">
        <f aca="false">IF(ISNUMBER(H112),G112,0)</f>
        <v>8</v>
      </c>
      <c r="N112" s="31" t="n">
        <f aca="false">IF(AND(ISNUMBER(H112),ISNUMBER(K112)),1-H112/K112,"")</f>
        <v>-0.00103448275862061</v>
      </c>
      <c r="O112" s="24" t="n">
        <f aca="false">IF(J112="UNKNOWN","",INDEX(Cost_Rollup!$F$5:$F$16,MATCH(I112,Cost_Rollup!$A$5:$A$16,0)))</f>
        <v>978.66328</v>
      </c>
      <c r="P112" s="24" t="n">
        <f aca="false">IF(AND(ISNUMBER(L112),ISNUMBER(O112)),G112*O112,"")</f>
        <v>7829.30624</v>
      </c>
      <c r="Q112" s="15" t="str">
        <f aca="false">IF(H112="","Missing price; ","")&amp;IF(J112="UNKNOWN","Unknown item; ","")&amp;IF(AND(ISNUMBER(N112),N112&gt;Discount_Threshold),"Discount above limit; ","")</f>
        <v/>
      </c>
      <c r="R112" s="15" t="str">
        <f aca="false">IF(Q112="","OK","CHECK")</f>
        <v>OK</v>
      </c>
    </row>
    <row r="113" customFormat="false" ht="15" hidden="false" customHeight="false" outlineLevel="0" collapsed="false">
      <c r="A113" s="12" t="s">
        <v>383</v>
      </c>
      <c r="B113" s="30" t="n">
        <v>45838</v>
      </c>
      <c r="C113" s="12" t="s">
        <v>265</v>
      </c>
      <c r="D113" s="12" t="s">
        <v>266</v>
      </c>
      <c r="E113" s="12" t="s">
        <v>70</v>
      </c>
      <c r="F113" s="12" t="s">
        <v>118</v>
      </c>
      <c r="G113" s="23" t="n">
        <v>6</v>
      </c>
      <c r="H113" s="22" t="n">
        <v>1195.73</v>
      </c>
      <c r="I113" s="15" t="str">
        <f aca="false">UPPER(TRIM(F113))</f>
        <v>PC-MH-1200B</v>
      </c>
      <c r="J113" s="15" t="str">
        <f aca="false">IFERROR(INDEX(Items!$C$2:$C$500,MATCH(I113,Items!$H$2:$H$500,0)),"UNKNOWN")</f>
        <v>Manhole</v>
      </c>
      <c r="K113" s="24" t="n">
        <f aca="false">IF(J113="UNKNOWN","",INDEX(Items!$F$2:$F$500,MATCH(I113,Items!$H$2:$H$500,0)))</f>
        <v>1240</v>
      </c>
      <c r="L113" s="24" t="n">
        <f aca="false">IF(ISNUMBER(H113),G113*H113,"")</f>
        <v>7174.38</v>
      </c>
      <c r="M113" s="28" t="n">
        <f aca="false">IF(ISNUMBER(H113),G113,0)</f>
        <v>6</v>
      </c>
      <c r="N113" s="31" t="n">
        <f aca="false">IF(AND(ISNUMBER(H113),ISNUMBER(K113)),1-H113/K113,"")</f>
        <v>0.0357016129032258</v>
      </c>
      <c r="O113" s="24" t="n">
        <f aca="false">IF(J113="UNKNOWN","",INDEX(Cost_Rollup!$F$5:$F$16,MATCH(I113,Cost_Rollup!$A$5:$A$16,0)))</f>
        <v>753.4208</v>
      </c>
      <c r="P113" s="24" t="n">
        <f aca="false">IF(AND(ISNUMBER(L113),ISNUMBER(O113)),G113*O113,"")</f>
        <v>4520.5248</v>
      </c>
      <c r="Q113" s="15" t="str">
        <f aca="false">IF(H113="","Missing price; ","")&amp;IF(J113="UNKNOWN","Unknown item; ","")&amp;IF(AND(ISNUMBER(N113),N113&gt;Discount_Threshold),"Discount above limit; ","")</f>
        <v/>
      </c>
      <c r="R113" s="15" t="str">
        <f aca="false">IF(Q113="","OK","CHECK")</f>
        <v>OK</v>
      </c>
    </row>
    <row r="114" customFormat="false" ht="15" hidden="false" customHeight="false" outlineLevel="0" collapsed="false">
      <c r="A114" s="12" t="s">
        <v>384</v>
      </c>
      <c r="B114" s="30" t="n">
        <v>45838</v>
      </c>
      <c r="C114" s="12" t="s">
        <v>257</v>
      </c>
      <c r="D114" s="12" t="s">
        <v>258</v>
      </c>
      <c r="E114" s="12" t="s">
        <v>70</v>
      </c>
      <c r="F114" s="12" t="s">
        <v>118</v>
      </c>
      <c r="G114" s="23" t="n">
        <v>8</v>
      </c>
      <c r="H114" s="22" t="n">
        <v>1160.33</v>
      </c>
      <c r="I114" s="15" t="str">
        <f aca="false">UPPER(TRIM(F114))</f>
        <v>PC-MH-1200B</v>
      </c>
      <c r="J114" s="15" t="str">
        <f aca="false">IFERROR(INDEX(Items!$C$2:$C$500,MATCH(I114,Items!$H$2:$H$500,0)),"UNKNOWN")</f>
        <v>Manhole</v>
      </c>
      <c r="K114" s="24" t="n">
        <f aca="false">IF(J114="UNKNOWN","",INDEX(Items!$F$2:$F$500,MATCH(I114,Items!$H$2:$H$500,0)))</f>
        <v>1240</v>
      </c>
      <c r="L114" s="24" t="n">
        <f aca="false">IF(ISNUMBER(H114),G114*H114,"")</f>
        <v>9282.64</v>
      </c>
      <c r="M114" s="28" t="n">
        <f aca="false">IF(ISNUMBER(H114),G114,0)</f>
        <v>8</v>
      </c>
      <c r="N114" s="31" t="n">
        <f aca="false">IF(AND(ISNUMBER(H114),ISNUMBER(K114)),1-H114/K114,"")</f>
        <v>0.06425</v>
      </c>
      <c r="O114" s="24" t="n">
        <f aca="false">IF(J114="UNKNOWN","",INDEX(Cost_Rollup!$F$5:$F$16,MATCH(I114,Cost_Rollup!$A$5:$A$16,0)))</f>
        <v>753.4208</v>
      </c>
      <c r="P114" s="24" t="n">
        <f aca="false">IF(AND(ISNUMBER(L114),ISNUMBER(O114)),G114*O114,"")</f>
        <v>6027.3664</v>
      </c>
      <c r="Q114" s="15" t="str">
        <f aca="false">IF(H114="","Missing price; ","")&amp;IF(J114="UNKNOWN","Unknown item; ","")&amp;IF(AND(ISNUMBER(N114),N114&gt;Discount_Threshold),"Discount above limit; ","")</f>
        <v/>
      </c>
      <c r="R114" s="15" t="str">
        <f aca="false">IF(Q114="","OK","CHECK")</f>
        <v>OK</v>
      </c>
    </row>
    <row r="115" customFormat="false" ht="15" hidden="false" customHeight="false" outlineLevel="0" collapsed="false">
      <c r="A115" s="12" t="s">
        <v>385</v>
      </c>
      <c r="B115" s="30" t="n">
        <v>45839</v>
      </c>
      <c r="C115" s="12" t="s">
        <v>260</v>
      </c>
      <c r="D115" s="12" t="s">
        <v>258</v>
      </c>
      <c r="E115" s="12" t="s">
        <v>70</v>
      </c>
      <c r="F115" s="12" t="s">
        <v>108</v>
      </c>
      <c r="G115" s="23" t="n">
        <v>28</v>
      </c>
      <c r="H115" s="22" t="n">
        <v>1192.05</v>
      </c>
      <c r="I115" s="15" t="str">
        <f aca="false">UPPER(TRIM(F115))</f>
        <v>PC-RCP-0900</v>
      </c>
      <c r="J115" s="15" t="str">
        <f aca="false">IFERROR(INDEX(Items!$C$2:$C$500,MATCH(I115,Items!$H$2:$H$500,0)),"UNKNOWN")</f>
        <v>Pipe</v>
      </c>
      <c r="K115" s="24" t="n">
        <f aca="false">IF(J115="UNKNOWN","",INDEX(Items!$F$2:$F$500,MATCH(I115,Items!$H$2:$H$500,0)))</f>
        <v>1150</v>
      </c>
      <c r="L115" s="24" t="n">
        <f aca="false">IF(ISNUMBER(H115),G115*H115,"")</f>
        <v>33377.4</v>
      </c>
      <c r="M115" s="28" t="n">
        <f aca="false">IF(ISNUMBER(H115),G115,0)</f>
        <v>28</v>
      </c>
      <c r="N115" s="31" t="n">
        <f aca="false">IF(AND(ISNUMBER(H115),ISNUMBER(K115)),1-H115/K115,"")</f>
        <v>-0.0365652173913043</v>
      </c>
      <c r="O115" s="24" t="n">
        <f aca="false">IF(J115="UNKNOWN","",INDEX(Cost_Rollup!$F$5:$F$16,MATCH(I115,Cost_Rollup!$A$5:$A$16,0)))</f>
        <v>750.4337265687</v>
      </c>
      <c r="P115" s="24" t="n">
        <f aca="false">IF(AND(ISNUMBER(L115),ISNUMBER(O115)),G115*O115,"")</f>
        <v>21012.1443439236</v>
      </c>
      <c r="Q115" s="15" t="str">
        <f aca="false">IF(H115="","Missing price; ","")&amp;IF(J115="UNKNOWN","Unknown item; ","")&amp;IF(AND(ISNUMBER(N115),N115&gt;Discount_Threshold),"Discount above limit; ","")</f>
        <v/>
      </c>
      <c r="R115" s="15" t="str">
        <f aca="false">IF(Q115="","OK","CHECK")</f>
        <v>OK</v>
      </c>
    </row>
    <row r="116" customFormat="false" ht="15" hidden="false" customHeight="false" outlineLevel="0" collapsed="false">
      <c r="A116" s="12" t="s">
        <v>386</v>
      </c>
      <c r="B116" s="30" t="n">
        <v>45841</v>
      </c>
      <c r="C116" s="12" t="s">
        <v>279</v>
      </c>
      <c r="D116" s="12" t="s">
        <v>280</v>
      </c>
      <c r="E116" s="12" t="s">
        <v>147</v>
      </c>
      <c r="F116" s="12" t="s">
        <v>122</v>
      </c>
      <c r="G116" s="23" t="n">
        <v>3</v>
      </c>
      <c r="H116" s="22" t="n">
        <v>674.67</v>
      </c>
      <c r="I116" s="15" t="str">
        <f aca="false">UPPER(TRIM(F116))</f>
        <v>PC-CB-0600</v>
      </c>
      <c r="J116" s="15" t="str">
        <f aca="false">IFERROR(INDEX(Items!$C$2:$C$500,MATCH(I116,Items!$H$2:$H$500,0)),"UNKNOWN")</f>
        <v>Catch Basin</v>
      </c>
      <c r="K116" s="24" t="n">
        <f aca="false">IF(J116="UNKNOWN","",INDEX(Items!$F$2:$F$500,MATCH(I116,Items!$H$2:$H$500,0)))</f>
        <v>690</v>
      </c>
      <c r="L116" s="24" t="n">
        <f aca="false">IF(ISNUMBER(H116),G116*H116,"")</f>
        <v>2024.01</v>
      </c>
      <c r="M116" s="28" t="n">
        <f aca="false">IF(ISNUMBER(H116),G116,0)</f>
        <v>3</v>
      </c>
      <c r="N116" s="31" t="n">
        <f aca="false">IF(AND(ISNUMBER(H116),ISNUMBER(K116)),1-H116/K116,"")</f>
        <v>0.0222173913043479</v>
      </c>
      <c r="O116" s="24" t="n">
        <f aca="false">IF(J116="UNKNOWN","",INDEX(Cost_Rollup!$F$5:$F$16,MATCH(I116,Cost_Rollup!$A$5:$A$16,0)))</f>
        <v>471.0488</v>
      </c>
      <c r="P116" s="24" t="n">
        <f aca="false">IF(AND(ISNUMBER(L116),ISNUMBER(O116)),G116*O116,"")</f>
        <v>1413.1464</v>
      </c>
      <c r="Q116" s="15" t="str">
        <f aca="false">IF(H116="","Missing price; ","")&amp;IF(J116="UNKNOWN","Unknown item; ","")&amp;IF(AND(ISNUMBER(N116),N116&gt;Discount_Threshold),"Discount above limit; ","")</f>
        <v/>
      </c>
      <c r="R116" s="15" t="str">
        <f aca="false">IF(Q116="","OK","CHECK")</f>
        <v>OK</v>
      </c>
    </row>
    <row r="117" customFormat="false" ht="15" hidden="false" customHeight="false" outlineLevel="0" collapsed="false">
      <c r="A117" s="12" t="s">
        <v>387</v>
      </c>
      <c r="B117" s="30" t="n">
        <v>45842</v>
      </c>
      <c r="C117" s="12" t="s">
        <v>273</v>
      </c>
      <c r="D117" s="12" t="s">
        <v>274</v>
      </c>
      <c r="E117" s="12" t="s">
        <v>147</v>
      </c>
      <c r="F117" s="12" t="s">
        <v>129</v>
      </c>
      <c r="G117" s="23" t="n">
        <v>29</v>
      </c>
      <c r="H117" s="22" t="n">
        <v>2185.04</v>
      </c>
      <c r="I117" s="15" t="str">
        <f aca="false">UPPER(TRIM(F117))</f>
        <v>PC-BAR-SS60</v>
      </c>
      <c r="J117" s="15" t="str">
        <f aca="false">IFERROR(INDEX(Items!$C$2:$C$500,MATCH(I117,Items!$H$2:$H$500,0)),"UNKNOWN")</f>
        <v>Barrier</v>
      </c>
      <c r="K117" s="24" t="n">
        <f aca="false">IF(J117="UNKNOWN","",INDEX(Items!$F$2:$F$500,MATCH(I117,Items!$H$2:$H$500,0)))</f>
        <v>2350</v>
      </c>
      <c r="L117" s="24" t="n">
        <f aca="false">IF(ISNUMBER(H117),G117*H117,"")</f>
        <v>63366.16</v>
      </c>
      <c r="M117" s="28" t="n">
        <f aca="false">IF(ISNUMBER(H117),G117,0)</f>
        <v>29</v>
      </c>
      <c r="N117" s="31" t="n">
        <f aca="false">IF(AND(ISNUMBER(H117),ISNUMBER(K117)),1-H117/K117,"")</f>
        <v>0.0701957446808511</v>
      </c>
      <c r="O117" s="24" t="n">
        <f aca="false">IF(J117="UNKNOWN","",INDEX(Cost_Rollup!$F$5:$F$16,MATCH(I117,Cost_Rollup!$A$5:$A$16,0)))</f>
        <v>1583.5454</v>
      </c>
      <c r="P117" s="24" t="n">
        <f aca="false">IF(AND(ISNUMBER(L117),ISNUMBER(O117)),G117*O117,"")</f>
        <v>45922.8166</v>
      </c>
      <c r="Q117" s="15" t="str">
        <f aca="false">IF(H117="","Missing price; ","")&amp;IF(J117="UNKNOWN","Unknown item; ","")&amp;IF(AND(ISNUMBER(N117),N117&gt;Discount_Threshold),"Discount above limit; ","")</f>
        <v/>
      </c>
      <c r="R117" s="15" t="str">
        <f aca="false">IF(Q117="","OK","CHECK")</f>
        <v>OK</v>
      </c>
    </row>
    <row r="118" customFormat="false" ht="15" hidden="false" customHeight="false" outlineLevel="0" collapsed="false">
      <c r="A118" s="12" t="s">
        <v>388</v>
      </c>
      <c r="B118" s="30" t="n">
        <v>45842</v>
      </c>
      <c r="C118" s="12" t="s">
        <v>273</v>
      </c>
      <c r="D118" s="12" t="s">
        <v>274</v>
      </c>
      <c r="E118" s="12" t="s">
        <v>147</v>
      </c>
      <c r="F118" s="12" t="s">
        <v>125</v>
      </c>
      <c r="G118" s="23" t="n">
        <v>19</v>
      </c>
      <c r="H118" s="22" t="n">
        <v>1307.74</v>
      </c>
      <c r="I118" s="15" t="str">
        <f aca="false">UPPER(TRIM(F118))</f>
        <v>PC-BAR-F38</v>
      </c>
      <c r="J118" s="15" t="str">
        <f aca="false">IFERROR(INDEX(Items!$C$2:$C$500,MATCH(I118,Items!$H$2:$H$500,0)),"UNKNOWN")</f>
        <v>Barrier</v>
      </c>
      <c r="K118" s="24" t="n">
        <f aca="false">IF(J118="UNKNOWN","",INDEX(Items!$F$2:$F$500,MATCH(I118,Items!$H$2:$H$500,0)))</f>
        <v>1450</v>
      </c>
      <c r="L118" s="24" t="n">
        <f aca="false">IF(ISNUMBER(H118),G118*H118,"")</f>
        <v>24847.06</v>
      </c>
      <c r="M118" s="28" t="n">
        <f aca="false">IF(ISNUMBER(H118),G118,0)</f>
        <v>19</v>
      </c>
      <c r="N118" s="31" t="n">
        <f aca="false">IF(AND(ISNUMBER(H118),ISNUMBER(K118)),1-H118/K118,"")</f>
        <v>0.0981103448275862</v>
      </c>
      <c r="O118" s="24" t="n">
        <f aca="false">IF(J118="UNKNOWN","",INDEX(Cost_Rollup!$F$5:$F$16,MATCH(I118,Cost_Rollup!$A$5:$A$16,0)))</f>
        <v>978.66328</v>
      </c>
      <c r="P118" s="24" t="n">
        <f aca="false">IF(AND(ISNUMBER(L118),ISNUMBER(O118)),G118*O118,"")</f>
        <v>18594.60232</v>
      </c>
      <c r="Q118" s="15" t="str">
        <f aca="false">IF(H118="","Missing price; ","")&amp;IF(J118="UNKNOWN","Unknown item; ","")&amp;IF(AND(ISNUMBER(N118),N118&gt;Discount_Threshold),"Discount above limit; ","")</f>
        <v/>
      </c>
      <c r="R118" s="15" t="str">
        <f aca="false">IF(Q118="","OK","CHECK")</f>
        <v>OK</v>
      </c>
    </row>
    <row r="119" customFormat="false" ht="15" hidden="false" customHeight="false" outlineLevel="0" collapsed="false">
      <c r="A119" s="12" t="s">
        <v>389</v>
      </c>
      <c r="B119" s="30" t="n">
        <v>45843</v>
      </c>
      <c r="C119" s="12" t="s">
        <v>276</v>
      </c>
      <c r="D119" s="12" t="s">
        <v>277</v>
      </c>
      <c r="E119" s="12" t="s">
        <v>70</v>
      </c>
      <c r="F119" s="12" t="s">
        <v>131</v>
      </c>
      <c r="G119" s="23" t="n">
        <v>333</v>
      </c>
      <c r="H119" s="22" t="n">
        <v>119.28</v>
      </c>
      <c r="I119" s="15" t="str">
        <f aca="false">UPPER(TRIM(F119))</f>
        <v>PC-HC-200</v>
      </c>
      <c r="J119" s="15" t="str">
        <f aca="false">IFERROR(INDEX(Items!$C$2:$C$500,MATCH(I119,Items!$H$2:$H$500,0)),"UNKNOWN")</f>
        <v>Slab</v>
      </c>
      <c r="K119" s="24" t="n">
        <f aca="false">IF(J119="UNKNOWN","",INDEX(Items!$F$2:$F$500,MATCH(I119,Items!$H$2:$H$500,0)))</f>
        <v>118</v>
      </c>
      <c r="L119" s="24" t="n">
        <f aca="false">IF(ISNUMBER(H119),G119*H119,"")</f>
        <v>39720.24</v>
      </c>
      <c r="M119" s="28" t="n">
        <f aca="false">IF(ISNUMBER(H119),G119,0)</f>
        <v>333</v>
      </c>
      <c r="N119" s="31" t="n">
        <f aca="false">IF(AND(ISNUMBER(H119),ISNUMBER(K119)),1-H119/K119,"")</f>
        <v>-0.0108474576271187</v>
      </c>
      <c r="O119" s="24" t="n">
        <f aca="false">IF(J119="UNKNOWN","",INDEX(Cost_Rollup!$F$5:$F$16,MATCH(I119,Cost_Rollup!$A$5:$A$16,0)))</f>
        <v>78.89382</v>
      </c>
      <c r="P119" s="24" t="n">
        <f aca="false">IF(AND(ISNUMBER(L119),ISNUMBER(O119)),G119*O119,"")</f>
        <v>26271.64206</v>
      </c>
      <c r="Q119" s="15" t="str">
        <f aca="false">IF(H119="","Missing price; ","")&amp;IF(J119="UNKNOWN","Unknown item; ","")&amp;IF(AND(ISNUMBER(N119),N119&gt;Discount_Threshold),"Discount above limit; ","")</f>
        <v/>
      </c>
      <c r="R119" s="15" t="str">
        <f aca="false">IF(Q119="","OK","CHECK")</f>
        <v>OK</v>
      </c>
    </row>
    <row r="120" customFormat="false" ht="15" hidden="false" customHeight="false" outlineLevel="0" collapsed="false">
      <c r="A120" s="12" t="s">
        <v>390</v>
      </c>
      <c r="B120" s="30" t="n">
        <v>45845</v>
      </c>
      <c r="C120" s="12" t="s">
        <v>292</v>
      </c>
      <c r="D120" s="12" t="s">
        <v>277</v>
      </c>
      <c r="E120" s="12" t="s">
        <v>70</v>
      </c>
      <c r="F120" s="12" t="s">
        <v>131</v>
      </c>
      <c r="G120" s="23" t="n">
        <v>362</v>
      </c>
      <c r="H120" s="22" t="n">
        <v>107.96</v>
      </c>
      <c r="I120" s="15" t="str">
        <f aca="false">UPPER(TRIM(F120))</f>
        <v>PC-HC-200</v>
      </c>
      <c r="J120" s="15" t="str">
        <f aca="false">IFERROR(INDEX(Items!$C$2:$C$500,MATCH(I120,Items!$H$2:$H$500,0)),"UNKNOWN")</f>
        <v>Slab</v>
      </c>
      <c r="K120" s="24" t="n">
        <f aca="false">IF(J120="UNKNOWN","",INDEX(Items!$F$2:$F$500,MATCH(I120,Items!$H$2:$H$500,0)))</f>
        <v>118</v>
      </c>
      <c r="L120" s="24" t="n">
        <f aca="false">IF(ISNUMBER(H120),G120*H120,"")</f>
        <v>39081.52</v>
      </c>
      <c r="M120" s="28" t="n">
        <f aca="false">IF(ISNUMBER(H120),G120,0)</f>
        <v>362</v>
      </c>
      <c r="N120" s="31" t="n">
        <f aca="false">IF(AND(ISNUMBER(H120),ISNUMBER(K120)),1-H120/K120,"")</f>
        <v>0.085084745762712</v>
      </c>
      <c r="O120" s="24" t="n">
        <f aca="false">IF(J120="UNKNOWN","",INDEX(Cost_Rollup!$F$5:$F$16,MATCH(I120,Cost_Rollup!$A$5:$A$16,0)))</f>
        <v>78.89382</v>
      </c>
      <c r="P120" s="24" t="n">
        <f aca="false">IF(AND(ISNUMBER(L120),ISNUMBER(O120)),G120*O120,"")</f>
        <v>28559.56284</v>
      </c>
      <c r="Q120" s="15" t="str">
        <f aca="false">IF(H120="","Missing price; ","")&amp;IF(J120="UNKNOWN","Unknown item; ","")&amp;IF(AND(ISNUMBER(N120),N120&gt;Discount_Threshold),"Discount above limit; ","")</f>
        <v/>
      </c>
      <c r="R120" s="15" t="str">
        <f aca="false">IF(Q120="","OK","CHECK")</f>
        <v>OK</v>
      </c>
    </row>
    <row r="121" customFormat="false" ht="15" hidden="false" customHeight="false" outlineLevel="0" collapsed="false">
      <c r="A121" s="12" t="s">
        <v>391</v>
      </c>
      <c r="B121" s="30" t="n">
        <v>45845</v>
      </c>
      <c r="C121" s="12" t="s">
        <v>263</v>
      </c>
      <c r="D121" s="12" t="s">
        <v>258</v>
      </c>
      <c r="E121" s="12" t="s">
        <v>70</v>
      </c>
      <c r="F121" s="12" t="s">
        <v>135</v>
      </c>
      <c r="G121" s="23" t="n">
        <v>263</v>
      </c>
      <c r="H121" s="22" t="n">
        <v>139.13</v>
      </c>
      <c r="I121" s="15" t="str">
        <f aca="false">UPPER(TRIM(F121))</f>
        <v>PC-HC-250</v>
      </c>
      <c r="J121" s="15" t="str">
        <f aca="false">IFERROR(INDEX(Items!$C$2:$C$500,MATCH(I121,Items!$H$2:$H$500,0)),"UNKNOWN")</f>
        <v>Slab</v>
      </c>
      <c r="K121" s="24" t="n">
        <f aca="false">IF(J121="UNKNOWN","",INDEX(Items!$F$2:$F$500,MATCH(I121,Items!$H$2:$H$500,0)))</f>
        <v>136</v>
      </c>
      <c r="L121" s="24" t="n">
        <f aca="false">IF(ISNUMBER(H121),G121*H121,"")</f>
        <v>36591.19</v>
      </c>
      <c r="M121" s="28" t="n">
        <f aca="false">IF(ISNUMBER(H121),G121,0)</f>
        <v>263</v>
      </c>
      <c r="N121" s="31" t="n">
        <f aca="false">IF(AND(ISNUMBER(H121),ISNUMBER(K121)),1-H121/K121,"")</f>
        <v>-0.0230147058823529</v>
      </c>
      <c r="O121" s="24" t="n">
        <f aca="false">IF(J121="UNKNOWN","",INDEX(Cost_Rollup!$F$5:$F$16,MATCH(I121,Cost_Rollup!$A$5:$A$16,0)))</f>
        <v>92.94024</v>
      </c>
      <c r="P121" s="24" t="n">
        <f aca="false">IF(AND(ISNUMBER(L121),ISNUMBER(O121)),G121*O121,"")</f>
        <v>24443.28312</v>
      </c>
      <c r="Q121" s="15" t="str">
        <f aca="false">IF(H121="","Missing price; ","")&amp;IF(J121="UNKNOWN","Unknown item; ","")&amp;IF(AND(ISNUMBER(N121),N121&gt;Discount_Threshold),"Discount above limit; ","")</f>
        <v/>
      </c>
      <c r="R121" s="15" t="str">
        <f aca="false">IF(Q121="","OK","CHECK")</f>
        <v>OK</v>
      </c>
    </row>
    <row r="122" customFormat="false" ht="15" hidden="false" customHeight="false" outlineLevel="0" collapsed="false">
      <c r="A122" s="12" t="s">
        <v>392</v>
      </c>
      <c r="B122" s="30" t="n">
        <v>45845</v>
      </c>
      <c r="C122" s="12" t="s">
        <v>276</v>
      </c>
      <c r="D122" s="12" t="s">
        <v>277</v>
      </c>
      <c r="E122" s="12" t="s">
        <v>70</v>
      </c>
      <c r="F122" s="12" t="s">
        <v>110</v>
      </c>
      <c r="G122" s="23" t="n">
        <v>27</v>
      </c>
      <c r="H122" s="22" t="n">
        <v>1837.58</v>
      </c>
      <c r="I122" s="15" t="str">
        <f aca="false">UPPER(TRIM(F122))</f>
        <v>PC-RCP-1200</v>
      </c>
      <c r="J122" s="15" t="str">
        <f aca="false">IFERROR(INDEX(Items!$C$2:$C$500,MATCH(I122,Items!$H$2:$H$500,0)),"UNKNOWN")</f>
        <v>Pipe</v>
      </c>
      <c r="K122" s="24" t="n">
        <f aca="false">IF(J122="UNKNOWN","",INDEX(Items!$F$2:$F$500,MATCH(I122,Items!$H$2:$H$500,0)))</f>
        <v>1890</v>
      </c>
      <c r="L122" s="24" t="n">
        <f aca="false">IF(ISNUMBER(H122),G122*H122,"")</f>
        <v>49614.66</v>
      </c>
      <c r="M122" s="28" t="n">
        <f aca="false">IF(ISNUMBER(H122),G122,0)</f>
        <v>27</v>
      </c>
      <c r="N122" s="31" t="n">
        <f aca="false">IF(AND(ISNUMBER(H122),ISNUMBER(K122)),1-H122/K122,"")</f>
        <v>0.0277354497354497</v>
      </c>
      <c r="O122" s="24" t="n">
        <f aca="false">IF(J122="UNKNOWN","",INDEX(Cost_Rollup!$F$5:$F$16,MATCH(I122,Cost_Rollup!$A$5:$A$16,0)))</f>
        <v>1206.4054</v>
      </c>
      <c r="P122" s="24" t="n">
        <f aca="false">IF(AND(ISNUMBER(L122),ISNUMBER(O122)),G122*O122,"")</f>
        <v>32572.9458</v>
      </c>
      <c r="Q122" s="15" t="str">
        <f aca="false">IF(H122="","Missing price; ","")&amp;IF(J122="UNKNOWN","Unknown item; ","")&amp;IF(AND(ISNUMBER(N122),N122&gt;Discount_Threshold),"Discount above limit; ","")</f>
        <v/>
      </c>
      <c r="R122" s="15" t="str">
        <f aca="false">IF(Q122="","OK","CHECK")</f>
        <v>OK</v>
      </c>
    </row>
    <row r="123" customFormat="false" ht="15" hidden="false" customHeight="false" outlineLevel="0" collapsed="false">
      <c r="A123" s="12" t="s">
        <v>393</v>
      </c>
      <c r="B123" s="30" t="n">
        <v>45848</v>
      </c>
      <c r="C123" s="12" t="s">
        <v>265</v>
      </c>
      <c r="D123" s="12" t="s">
        <v>266</v>
      </c>
      <c r="E123" s="12" t="s">
        <v>70</v>
      </c>
      <c r="F123" s="12" t="s">
        <v>115</v>
      </c>
      <c r="G123" s="23" t="n">
        <v>8</v>
      </c>
      <c r="H123" s="22" t="n">
        <v>1010.3</v>
      </c>
      <c r="I123" s="15" t="str">
        <f aca="false">UPPER(TRIM(F123))</f>
        <v>PC-MH-1050B</v>
      </c>
      <c r="J123" s="15" t="str">
        <f aca="false">IFERROR(INDEX(Items!$C$2:$C$500,MATCH(I123,Items!$H$2:$H$500,0)),"UNKNOWN")</f>
        <v>Manhole</v>
      </c>
      <c r="K123" s="24" t="n">
        <f aca="false">IF(J123="UNKNOWN","",INDEX(Items!$F$2:$F$500,MATCH(I123,Items!$H$2:$H$500,0)))</f>
        <v>980</v>
      </c>
      <c r="L123" s="24" t="n">
        <f aca="false">IF(ISNUMBER(H123),G123*H123,"")</f>
        <v>8082.4</v>
      </c>
      <c r="M123" s="28" t="n">
        <f aca="false">IF(ISNUMBER(H123),G123,0)</f>
        <v>8</v>
      </c>
      <c r="N123" s="31" t="n">
        <f aca="false">IF(AND(ISNUMBER(H123),ISNUMBER(K123)),1-H123/K123,"")</f>
        <v>-0.0309183673469386</v>
      </c>
      <c r="O123" s="24" t="n">
        <f aca="false">IF(J123="UNKNOWN","",INDEX(Cost_Rollup!$F$5:$F$16,MATCH(I123,Cost_Rollup!$A$5:$A$16,0)))</f>
        <v>635.433</v>
      </c>
      <c r="P123" s="24" t="n">
        <f aca="false">IF(AND(ISNUMBER(L123),ISNUMBER(O123)),G123*O123,"")</f>
        <v>5083.464</v>
      </c>
      <c r="Q123" s="15" t="str">
        <f aca="false">IF(H123="","Missing price; ","")&amp;IF(J123="UNKNOWN","Unknown item; ","")&amp;IF(AND(ISNUMBER(N123),N123&gt;Discount_Threshold),"Discount above limit; ","")</f>
        <v/>
      </c>
      <c r="R123" s="15" t="str">
        <f aca="false">IF(Q123="","OK","CHECK")</f>
        <v>OK</v>
      </c>
    </row>
    <row r="124" customFormat="false" ht="15" hidden="false" customHeight="false" outlineLevel="0" collapsed="false">
      <c r="A124" s="12" t="s">
        <v>394</v>
      </c>
      <c r="B124" s="30" t="n">
        <v>45849</v>
      </c>
      <c r="C124" s="12" t="s">
        <v>260</v>
      </c>
      <c r="D124" s="12" t="s">
        <v>258</v>
      </c>
      <c r="E124" s="12" t="s">
        <v>70</v>
      </c>
      <c r="F124" s="12" t="s">
        <v>120</v>
      </c>
      <c r="G124" s="23" t="n">
        <v>2</v>
      </c>
      <c r="H124" s="22" t="n">
        <v>510.07</v>
      </c>
      <c r="I124" s="15" t="str">
        <f aca="false">UPPER(TRIM(F124))</f>
        <v>PC-MH-1200R</v>
      </c>
      <c r="J124" s="15" t="str">
        <f aca="false">IFERROR(INDEX(Items!$C$2:$C$500,MATCH(I124,Items!$H$2:$H$500,0)),"UNKNOWN")</f>
        <v>Manhole</v>
      </c>
      <c r="K124" s="24" t="n">
        <f aca="false">IF(J124="UNKNOWN","",INDEX(Items!$F$2:$F$500,MATCH(I124,Items!$H$2:$H$500,0)))</f>
        <v>520</v>
      </c>
      <c r="L124" s="24" t="n">
        <f aca="false">IF(ISNUMBER(H124),G124*H124,"")</f>
        <v>1020.14</v>
      </c>
      <c r="M124" s="28" t="n">
        <f aca="false">IF(ISNUMBER(H124),G124,0)</f>
        <v>2</v>
      </c>
      <c r="N124" s="31" t="n">
        <f aca="false">IF(AND(ISNUMBER(H124),ISNUMBER(K124)),1-H124/K124,"")</f>
        <v>0.0190961538461538</v>
      </c>
      <c r="O124" s="24" t="n">
        <f aca="false">IF(J124="UNKNOWN","",INDEX(Cost_Rollup!$F$5:$F$16,MATCH(I124,Cost_Rollup!$A$5:$A$16,0)))</f>
        <v>381.98428</v>
      </c>
      <c r="P124" s="24" t="n">
        <f aca="false">IF(AND(ISNUMBER(L124),ISNUMBER(O124)),G124*O124,"")</f>
        <v>763.96856</v>
      </c>
      <c r="Q124" s="15" t="str">
        <f aca="false">IF(H124="","Missing price; ","")&amp;IF(J124="UNKNOWN","Unknown item; ","")&amp;IF(AND(ISNUMBER(N124),N124&gt;Discount_Threshold),"Discount above limit; ","")</f>
        <v/>
      </c>
      <c r="R124" s="15" t="str">
        <f aca="false">IF(Q124="","OK","CHECK")</f>
        <v>OK</v>
      </c>
    </row>
    <row r="125" customFormat="false" ht="15" hidden="false" customHeight="false" outlineLevel="0" collapsed="false">
      <c r="A125" s="12" t="s">
        <v>395</v>
      </c>
      <c r="B125" s="30" t="n">
        <v>45851</v>
      </c>
      <c r="C125" s="12" t="s">
        <v>257</v>
      </c>
      <c r="D125" s="12" t="s">
        <v>258</v>
      </c>
      <c r="E125" s="12" t="s">
        <v>70</v>
      </c>
      <c r="F125" s="12" t="s">
        <v>122</v>
      </c>
      <c r="G125" s="23" t="n">
        <v>8</v>
      </c>
      <c r="H125" s="22" t="n">
        <v>629.76</v>
      </c>
      <c r="I125" s="15" t="str">
        <f aca="false">UPPER(TRIM(F125))</f>
        <v>PC-CB-0600</v>
      </c>
      <c r="J125" s="15" t="str">
        <f aca="false">IFERROR(INDEX(Items!$C$2:$C$500,MATCH(I125,Items!$H$2:$H$500,0)),"UNKNOWN")</f>
        <v>Catch Basin</v>
      </c>
      <c r="K125" s="24" t="n">
        <f aca="false">IF(J125="UNKNOWN","",INDEX(Items!$F$2:$F$500,MATCH(I125,Items!$H$2:$H$500,0)))</f>
        <v>690</v>
      </c>
      <c r="L125" s="24" t="n">
        <f aca="false">IF(ISNUMBER(H125),G125*H125,"")</f>
        <v>5038.08</v>
      </c>
      <c r="M125" s="28" t="n">
        <f aca="false">IF(ISNUMBER(H125),G125,0)</f>
        <v>8</v>
      </c>
      <c r="N125" s="31" t="n">
        <f aca="false">IF(AND(ISNUMBER(H125),ISNUMBER(K125)),1-H125/K125,"")</f>
        <v>0.087304347826087</v>
      </c>
      <c r="O125" s="24" t="n">
        <f aca="false">IF(J125="UNKNOWN","",INDEX(Cost_Rollup!$F$5:$F$16,MATCH(I125,Cost_Rollup!$A$5:$A$16,0)))</f>
        <v>471.0488</v>
      </c>
      <c r="P125" s="24" t="n">
        <f aca="false">IF(AND(ISNUMBER(L125),ISNUMBER(O125)),G125*O125,"")</f>
        <v>3768.3904</v>
      </c>
      <c r="Q125" s="15" t="str">
        <f aca="false">IF(H125="","Missing price; ","")&amp;IF(J125="UNKNOWN","Unknown item; ","")&amp;IF(AND(ISNUMBER(N125),N125&gt;Discount_Threshold),"Discount above limit; ","")</f>
        <v/>
      </c>
      <c r="R125" s="15" t="str">
        <f aca="false">IF(Q125="","OK","CHECK")</f>
        <v>OK</v>
      </c>
    </row>
    <row r="126" customFormat="false" ht="15" hidden="false" customHeight="false" outlineLevel="0" collapsed="false">
      <c r="A126" s="12" t="s">
        <v>396</v>
      </c>
      <c r="B126" s="30" t="n">
        <v>45852</v>
      </c>
      <c r="C126" s="12" t="s">
        <v>260</v>
      </c>
      <c r="D126" s="12" t="s">
        <v>258</v>
      </c>
      <c r="E126" s="12" t="s">
        <v>70</v>
      </c>
      <c r="F126" s="12" t="s">
        <v>112</v>
      </c>
      <c r="G126" s="23" t="n">
        <v>8</v>
      </c>
      <c r="H126" s="22" t="n">
        <v>3866.06</v>
      </c>
      <c r="I126" s="15" t="str">
        <f aca="false">UPPER(TRIM(F126))</f>
        <v>PC-BOX-1812</v>
      </c>
      <c r="J126" s="15" t="str">
        <f aca="false">IFERROR(INDEX(Items!$C$2:$C$500,MATCH(I126,Items!$H$2:$H$500,0)),"UNKNOWN")</f>
        <v>Box Culvert</v>
      </c>
      <c r="K126" s="24" t="n">
        <f aca="false">IF(J126="UNKNOWN","",INDEX(Items!$F$2:$F$500,MATCH(I126,Items!$H$2:$H$500,0)))</f>
        <v>4200</v>
      </c>
      <c r="L126" s="24" t="n">
        <f aca="false">IF(ISNUMBER(H126),G126*H126,"")</f>
        <v>30928.48</v>
      </c>
      <c r="M126" s="28" t="n">
        <f aca="false">IF(ISNUMBER(H126),G126,0)</f>
        <v>8</v>
      </c>
      <c r="N126" s="31" t="n">
        <f aca="false">IF(AND(ISNUMBER(H126),ISNUMBER(K126)),1-H126/K126,"")</f>
        <v>0.0795095238095238</v>
      </c>
      <c r="O126" s="24" t="n">
        <f aca="false">IF(J126="UNKNOWN","",INDEX(Cost_Rollup!$F$5:$F$16,MATCH(I126,Cost_Rollup!$A$5:$A$16,0)))</f>
        <v>2795.3624</v>
      </c>
      <c r="P126" s="24" t="n">
        <f aca="false">IF(AND(ISNUMBER(L126),ISNUMBER(O126)),G126*O126,"")</f>
        <v>22362.8992</v>
      </c>
      <c r="Q126" s="15" t="str">
        <f aca="false">IF(H126="","Missing price; ","")&amp;IF(J126="UNKNOWN","Unknown item; ","")&amp;IF(AND(ISNUMBER(N126),N126&gt;Discount_Threshold),"Discount above limit; ","")</f>
        <v/>
      </c>
      <c r="R126" s="15" t="str">
        <f aca="false">IF(Q126="","OK","CHECK")</f>
        <v>OK</v>
      </c>
    </row>
    <row r="127" customFormat="false" ht="15" hidden="false" customHeight="false" outlineLevel="0" collapsed="false">
      <c r="A127" s="12" t="s">
        <v>397</v>
      </c>
      <c r="B127" s="30" t="n">
        <v>45852</v>
      </c>
      <c r="C127" s="12" t="s">
        <v>260</v>
      </c>
      <c r="D127" s="12" t="s">
        <v>258</v>
      </c>
      <c r="E127" s="12" t="s">
        <v>70</v>
      </c>
      <c r="F127" s="12" t="s">
        <v>125</v>
      </c>
      <c r="G127" s="23" t="n">
        <v>17</v>
      </c>
      <c r="H127" s="22" t="n">
        <v>1414.41</v>
      </c>
      <c r="I127" s="15" t="str">
        <f aca="false">UPPER(TRIM(F127))</f>
        <v>PC-BAR-F38</v>
      </c>
      <c r="J127" s="15" t="str">
        <f aca="false">IFERROR(INDEX(Items!$C$2:$C$500,MATCH(I127,Items!$H$2:$H$500,0)),"UNKNOWN")</f>
        <v>Barrier</v>
      </c>
      <c r="K127" s="24" t="n">
        <f aca="false">IF(J127="UNKNOWN","",INDEX(Items!$F$2:$F$500,MATCH(I127,Items!$H$2:$H$500,0)))</f>
        <v>1450</v>
      </c>
      <c r="L127" s="24" t="n">
        <f aca="false">IF(ISNUMBER(H127),G127*H127,"")</f>
        <v>24044.97</v>
      </c>
      <c r="M127" s="28" t="n">
        <f aca="false">IF(ISNUMBER(H127),G127,0)</f>
        <v>17</v>
      </c>
      <c r="N127" s="31" t="n">
        <f aca="false">IF(AND(ISNUMBER(H127),ISNUMBER(K127)),1-H127/K127,"")</f>
        <v>0.0245448275862068</v>
      </c>
      <c r="O127" s="24" t="n">
        <f aca="false">IF(J127="UNKNOWN","",INDEX(Cost_Rollup!$F$5:$F$16,MATCH(I127,Cost_Rollup!$A$5:$A$16,0)))</f>
        <v>978.66328</v>
      </c>
      <c r="P127" s="24" t="n">
        <f aca="false">IF(AND(ISNUMBER(L127),ISNUMBER(O127)),G127*O127,"")</f>
        <v>16637.27576</v>
      </c>
      <c r="Q127" s="15" t="str">
        <f aca="false">IF(H127="","Missing price; ","")&amp;IF(J127="UNKNOWN","Unknown item; ","")&amp;IF(AND(ISNUMBER(N127),N127&gt;Discount_Threshold),"Discount above limit; ","")</f>
        <v/>
      </c>
      <c r="R127" s="15" t="str">
        <f aca="false">IF(Q127="","OK","CHECK")</f>
        <v>OK</v>
      </c>
    </row>
    <row r="128" customFormat="false" ht="15" hidden="false" customHeight="false" outlineLevel="0" collapsed="false">
      <c r="A128" s="12" t="s">
        <v>398</v>
      </c>
      <c r="B128" s="30" t="n">
        <v>45856</v>
      </c>
      <c r="C128" s="12" t="s">
        <v>265</v>
      </c>
      <c r="D128" s="12" t="s">
        <v>266</v>
      </c>
      <c r="E128" s="12" t="s">
        <v>70</v>
      </c>
      <c r="F128" s="12" t="s">
        <v>115</v>
      </c>
      <c r="G128" s="23" t="n">
        <v>3</v>
      </c>
      <c r="H128" s="22" t="n">
        <v>924.1</v>
      </c>
      <c r="I128" s="15" t="str">
        <f aca="false">UPPER(TRIM(F128))</f>
        <v>PC-MH-1050B</v>
      </c>
      <c r="J128" s="15" t="str">
        <f aca="false">IFERROR(INDEX(Items!$C$2:$C$500,MATCH(I128,Items!$H$2:$H$500,0)),"UNKNOWN")</f>
        <v>Manhole</v>
      </c>
      <c r="K128" s="24" t="n">
        <f aca="false">IF(J128="UNKNOWN","",INDEX(Items!$F$2:$F$500,MATCH(I128,Items!$H$2:$H$500,0)))</f>
        <v>980</v>
      </c>
      <c r="L128" s="24" t="n">
        <f aca="false">IF(ISNUMBER(H128),G128*H128,"")</f>
        <v>2772.3</v>
      </c>
      <c r="M128" s="28" t="n">
        <f aca="false">IF(ISNUMBER(H128),G128,0)</f>
        <v>3</v>
      </c>
      <c r="N128" s="31" t="n">
        <f aca="false">IF(AND(ISNUMBER(H128),ISNUMBER(K128)),1-H128/K128,"")</f>
        <v>0.0570408163265306</v>
      </c>
      <c r="O128" s="24" t="n">
        <f aca="false">IF(J128="UNKNOWN","",INDEX(Cost_Rollup!$F$5:$F$16,MATCH(I128,Cost_Rollup!$A$5:$A$16,0)))</f>
        <v>635.433</v>
      </c>
      <c r="P128" s="24" t="n">
        <f aca="false">IF(AND(ISNUMBER(L128),ISNUMBER(O128)),G128*O128,"")</f>
        <v>1906.299</v>
      </c>
      <c r="Q128" s="15" t="str">
        <f aca="false">IF(H128="","Missing price; ","")&amp;IF(J128="UNKNOWN","Unknown item; ","")&amp;IF(AND(ISNUMBER(N128),N128&gt;Discount_Threshold),"Discount above limit; ","")</f>
        <v/>
      </c>
      <c r="R128" s="15" t="str">
        <f aca="false">IF(Q128="","OK","CHECK")</f>
        <v>OK</v>
      </c>
    </row>
    <row r="129" customFormat="false" ht="15" hidden="false" customHeight="false" outlineLevel="0" collapsed="false">
      <c r="A129" s="12" t="s">
        <v>399</v>
      </c>
      <c r="B129" s="30" t="n">
        <v>45858</v>
      </c>
      <c r="C129" s="12" t="s">
        <v>268</v>
      </c>
      <c r="D129" s="12" t="s">
        <v>269</v>
      </c>
      <c r="E129" s="12" t="s">
        <v>70</v>
      </c>
      <c r="F129" s="12" t="s">
        <v>129</v>
      </c>
      <c r="G129" s="23" t="n">
        <v>24</v>
      </c>
      <c r="H129" s="22" t="n">
        <v>2328.04</v>
      </c>
      <c r="I129" s="15" t="str">
        <f aca="false">UPPER(TRIM(F129))</f>
        <v>PC-BAR-SS60</v>
      </c>
      <c r="J129" s="15" t="str">
        <f aca="false">IFERROR(INDEX(Items!$C$2:$C$500,MATCH(I129,Items!$H$2:$H$500,0)),"UNKNOWN")</f>
        <v>Barrier</v>
      </c>
      <c r="K129" s="24" t="n">
        <f aca="false">IF(J129="UNKNOWN","",INDEX(Items!$F$2:$F$500,MATCH(I129,Items!$H$2:$H$500,0)))</f>
        <v>2350</v>
      </c>
      <c r="L129" s="24" t="n">
        <f aca="false">IF(ISNUMBER(H129),G129*H129,"")</f>
        <v>55872.96</v>
      </c>
      <c r="M129" s="28" t="n">
        <f aca="false">IF(ISNUMBER(H129),G129,0)</f>
        <v>24</v>
      </c>
      <c r="N129" s="31" t="n">
        <f aca="false">IF(AND(ISNUMBER(H129),ISNUMBER(K129)),1-H129/K129,"")</f>
        <v>0.00934468085106388</v>
      </c>
      <c r="O129" s="24" t="n">
        <f aca="false">IF(J129="UNKNOWN","",INDEX(Cost_Rollup!$F$5:$F$16,MATCH(I129,Cost_Rollup!$A$5:$A$16,0)))</f>
        <v>1583.5454</v>
      </c>
      <c r="P129" s="24" t="n">
        <f aca="false">IF(AND(ISNUMBER(L129),ISNUMBER(O129)),G129*O129,"")</f>
        <v>38005.0896</v>
      </c>
      <c r="Q129" s="15" t="str">
        <f aca="false">IF(H129="","Missing price; ","")&amp;IF(J129="UNKNOWN","Unknown item; ","")&amp;IF(AND(ISNUMBER(N129),N129&gt;Discount_Threshold),"Discount above limit; ","")</f>
        <v/>
      </c>
      <c r="R129" s="15" t="str">
        <f aca="false">IF(Q129="","OK","CHECK")</f>
        <v>OK</v>
      </c>
    </row>
    <row r="130" customFormat="false" ht="15" hidden="false" customHeight="false" outlineLevel="0" collapsed="false">
      <c r="A130" s="12" t="s">
        <v>400</v>
      </c>
      <c r="B130" s="30" t="n">
        <v>45858</v>
      </c>
      <c r="C130" s="12" t="s">
        <v>263</v>
      </c>
      <c r="D130" s="12" t="s">
        <v>258</v>
      </c>
      <c r="E130" s="12" t="s">
        <v>70</v>
      </c>
      <c r="F130" s="12" t="s">
        <v>122</v>
      </c>
      <c r="G130" s="23" t="n">
        <v>11</v>
      </c>
      <c r="H130" s="22" t="n">
        <v>632.74</v>
      </c>
      <c r="I130" s="15" t="str">
        <f aca="false">UPPER(TRIM(F130))</f>
        <v>PC-CB-0600</v>
      </c>
      <c r="J130" s="15" t="str">
        <f aca="false">IFERROR(INDEX(Items!$C$2:$C$500,MATCH(I130,Items!$H$2:$H$500,0)),"UNKNOWN")</f>
        <v>Catch Basin</v>
      </c>
      <c r="K130" s="24" t="n">
        <f aca="false">IF(J130="UNKNOWN","",INDEX(Items!$F$2:$F$500,MATCH(I130,Items!$H$2:$H$500,0)))</f>
        <v>690</v>
      </c>
      <c r="L130" s="24" t="n">
        <f aca="false">IF(ISNUMBER(H130),G130*H130,"")</f>
        <v>6960.14</v>
      </c>
      <c r="M130" s="28" t="n">
        <f aca="false">IF(ISNUMBER(H130),G130,0)</f>
        <v>11</v>
      </c>
      <c r="N130" s="31" t="n">
        <f aca="false">IF(AND(ISNUMBER(H130),ISNUMBER(K130)),1-H130/K130,"")</f>
        <v>0.0829855072463768</v>
      </c>
      <c r="O130" s="24" t="n">
        <f aca="false">IF(J130="UNKNOWN","",INDEX(Cost_Rollup!$F$5:$F$16,MATCH(I130,Cost_Rollup!$A$5:$A$16,0)))</f>
        <v>471.0488</v>
      </c>
      <c r="P130" s="24" t="n">
        <f aca="false">IF(AND(ISNUMBER(L130),ISNUMBER(O130)),G130*O130,"")</f>
        <v>5181.5368</v>
      </c>
      <c r="Q130" s="15" t="str">
        <f aca="false">IF(H130="","Missing price; ","")&amp;IF(J130="UNKNOWN","Unknown item; ","")&amp;IF(AND(ISNUMBER(N130),N130&gt;Discount_Threshold),"Discount above limit; ","")</f>
        <v/>
      </c>
      <c r="R130" s="15" t="str">
        <f aca="false">IF(Q130="","OK","CHECK")</f>
        <v>OK</v>
      </c>
    </row>
    <row r="131" customFormat="false" ht="15" hidden="false" customHeight="false" outlineLevel="0" collapsed="false">
      <c r="A131" s="12" t="s">
        <v>401</v>
      </c>
      <c r="B131" s="30" t="n">
        <v>45859</v>
      </c>
      <c r="C131" s="12" t="s">
        <v>268</v>
      </c>
      <c r="D131" s="12" t="s">
        <v>269</v>
      </c>
      <c r="E131" s="12" t="s">
        <v>70</v>
      </c>
      <c r="F131" s="12" t="s">
        <v>110</v>
      </c>
      <c r="G131" s="23" t="n">
        <v>15</v>
      </c>
      <c r="H131" s="22" t="n">
        <v>1747.22</v>
      </c>
      <c r="I131" s="15" t="str">
        <f aca="false">UPPER(TRIM(F131))</f>
        <v>PC-RCP-1200</v>
      </c>
      <c r="J131" s="15" t="str">
        <f aca="false">IFERROR(INDEX(Items!$C$2:$C$500,MATCH(I131,Items!$H$2:$H$500,0)),"UNKNOWN")</f>
        <v>Pipe</v>
      </c>
      <c r="K131" s="24" t="n">
        <f aca="false">IF(J131="UNKNOWN","",INDEX(Items!$F$2:$F$500,MATCH(I131,Items!$H$2:$H$500,0)))</f>
        <v>1890</v>
      </c>
      <c r="L131" s="24" t="n">
        <f aca="false">IF(ISNUMBER(H131),G131*H131,"")</f>
        <v>26208.3</v>
      </c>
      <c r="M131" s="28" t="n">
        <f aca="false">IF(ISNUMBER(H131),G131,0)</f>
        <v>15</v>
      </c>
      <c r="N131" s="31" t="n">
        <f aca="false">IF(AND(ISNUMBER(H131),ISNUMBER(K131)),1-H131/K131,"")</f>
        <v>0.0755449735449736</v>
      </c>
      <c r="O131" s="24" t="n">
        <f aca="false">IF(J131="UNKNOWN","",INDEX(Cost_Rollup!$F$5:$F$16,MATCH(I131,Cost_Rollup!$A$5:$A$16,0)))</f>
        <v>1206.4054</v>
      </c>
      <c r="P131" s="24" t="n">
        <f aca="false">IF(AND(ISNUMBER(L131),ISNUMBER(O131)),G131*O131,"")</f>
        <v>18096.081</v>
      </c>
      <c r="Q131" s="15" t="str">
        <f aca="false">IF(H131="","Missing price; ","")&amp;IF(J131="UNKNOWN","Unknown item; ","")&amp;IF(AND(ISNUMBER(N131),N131&gt;Discount_Threshold),"Discount above limit; ","")</f>
        <v/>
      </c>
      <c r="R131" s="15" t="str">
        <f aca="false">IF(Q131="","OK","CHECK")</f>
        <v>OK</v>
      </c>
    </row>
    <row r="132" customFormat="false" ht="15" hidden="false" customHeight="false" outlineLevel="0" collapsed="false">
      <c r="A132" s="12" t="s">
        <v>402</v>
      </c>
      <c r="B132" s="30" t="n">
        <v>45860</v>
      </c>
      <c r="C132" s="12" t="s">
        <v>292</v>
      </c>
      <c r="D132" s="12" t="s">
        <v>277</v>
      </c>
      <c r="E132" s="12" t="s">
        <v>70</v>
      </c>
      <c r="F132" s="12" t="s">
        <v>129</v>
      </c>
      <c r="G132" s="23" t="n">
        <v>26</v>
      </c>
      <c r="H132" s="22" t="n">
        <v>2327.05</v>
      </c>
      <c r="I132" s="15" t="str">
        <f aca="false">UPPER(TRIM(F132))</f>
        <v>PC-BAR-SS60</v>
      </c>
      <c r="J132" s="15" t="str">
        <f aca="false">IFERROR(INDEX(Items!$C$2:$C$500,MATCH(I132,Items!$H$2:$H$500,0)),"UNKNOWN")</f>
        <v>Barrier</v>
      </c>
      <c r="K132" s="24" t="n">
        <f aca="false">IF(J132="UNKNOWN","",INDEX(Items!$F$2:$F$500,MATCH(I132,Items!$H$2:$H$500,0)))</f>
        <v>2350</v>
      </c>
      <c r="L132" s="24" t="n">
        <f aca="false">IF(ISNUMBER(H132),G132*H132,"")</f>
        <v>60503.3</v>
      </c>
      <c r="M132" s="28" t="n">
        <f aca="false">IF(ISNUMBER(H132),G132,0)</f>
        <v>26</v>
      </c>
      <c r="N132" s="31" t="n">
        <f aca="false">IF(AND(ISNUMBER(H132),ISNUMBER(K132)),1-H132/K132,"")</f>
        <v>0.00976595744680842</v>
      </c>
      <c r="O132" s="24" t="n">
        <f aca="false">IF(J132="UNKNOWN","",INDEX(Cost_Rollup!$F$5:$F$16,MATCH(I132,Cost_Rollup!$A$5:$A$16,0)))</f>
        <v>1583.5454</v>
      </c>
      <c r="P132" s="24" t="n">
        <f aca="false">IF(AND(ISNUMBER(L132),ISNUMBER(O132)),G132*O132,"")</f>
        <v>41172.1804</v>
      </c>
      <c r="Q132" s="15" t="str">
        <f aca="false">IF(H132="","Missing price; ","")&amp;IF(J132="UNKNOWN","Unknown item; ","")&amp;IF(AND(ISNUMBER(N132),N132&gt;Discount_Threshold),"Discount above limit; ","")</f>
        <v/>
      </c>
      <c r="R132" s="15" t="str">
        <f aca="false">IF(Q132="","OK","CHECK")</f>
        <v>OK</v>
      </c>
    </row>
    <row r="133" customFormat="false" ht="15" hidden="false" customHeight="false" outlineLevel="0" collapsed="false">
      <c r="A133" s="12" t="s">
        <v>403</v>
      </c>
      <c r="B133" s="30" t="n">
        <v>45862</v>
      </c>
      <c r="C133" s="12" t="s">
        <v>292</v>
      </c>
      <c r="D133" s="12" t="s">
        <v>277</v>
      </c>
      <c r="E133" s="12" t="s">
        <v>70</v>
      </c>
      <c r="F133" s="12" t="s">
        <v>125</v>
      </c>
      <c r="G133" s="23" t="n">
        <v>17</v>
      </c>
      <c r="H133" s="22" t="n">
        <v>1381.33</v>
      </c>
      <c r="I133" s="15" t="str">
        <f aca="false">UPPER(TRIM(F133))</f>
        <v>PC-BAR-F38</v>
      </c>
      <c r="J133" s="15" t="str">
        <f aca="false">IFERROR(INDEX(Items!$C$2:$C$500,MATCH(I133,Items!$H$2:$H$500,0)),"UNKNOWN")</f>
        <v>Barrier</v>
      </c>
      <c r="K133" s="24" t="n">
        <f aca="false">IF(J133="UNKNOWN","",INDEX(Items!$F$2:$F$500,MATCH(I133,Items!$H$2:$H$500,0)))</f>
        <v>1450</v>
      </c>
      <c r="L133" s="24" t="n">
        <f aca="false">IF(ISNUMBER(H133),G133*H133,"")</f>
        <v>23482.61</v>
      </c>
      <c r="M133" s="28" t="n">
        <f aca="false">IF(ISNUMBER(H133),G133,0)</f>
        <v>17</v>
      </c>
      <c r="N133" s="31" t="n">
        <f aca="false">IF(AND(ISNUMBER(H133),ISNUMBER(K133)),1-H133/K133,"")</f>
        <v>0.0473586206896552</v>
      </c>
      <c r="O133" s="24" t="n">
        <f aca="false">IF(J133="UNKNOWN","",INDEX(Cost_Rollup!$F$5:$F$16,MATCH(I133,Cost_Rollup!$A$5:$A$16,0)))</f>
        <v>978.66328</v>
      </c>
      <c r="P133" s="24" t="n">
        <f aca="false">IF(AND(ISNUMBER(L133),ISNUMBER(O133)),G133*O133,"")</f>
        <v>16637.27576</v>
      </c>
      <c r="Q133" s="15" t="str">
        <f aca="false">IF(H133="","Missing price; ","")&amp;IF(J133="UNKNOWN","Unknown item; ","")&amp;IF(AND(ISNUMBER(N133),N133&gt;Discount_Threshold),"Discount above limit; ","")</f>
        <v/>
      </c>
      <c r="R133" s="15" t="str">
        <f aca="false">IF(Q133="","OK","CHECK")</f>
        <v>OK</v>
      </c>
    </row>
    <row r="134" customFormat="false" ht="15" hidden="false" customHeight="false" outlineLevel="0" collapsed="false">
      <c r="A134" s="12" t="s">
        <v>404</v>
      </c>
      <c r="B134" s="30" t="n">
        <v>45862</v>
      </c>
      <c r="C134" s="12" t="s">
        <v>268</v>
      </c>
      <c r="D134" s="12" t="s">
        <v>269</v>
      </c>
      <c r="E134" s="12" t="s">
        <v>70</v>
      </c>
      <c r="F134" s="12" t="s">
        <v>120</v>
      </c>
      <c r="G134" s="23" t="n">
        <v>7</v>
      </c>
      <c r="H134" s="22" t="n">
        <v>531.19</v>
      </c>
      <c r="I134" s="15" t="str">
        <f aca="false">UPPER(TRIM(F134))</f>
        <v>PC-MH-1200R</v>
      </c>
      <c r="J134" s="15" t="str">
        <f aca="false">IFERROR(INDEX(Items!$C$2:$C$500,MATCH(I134,Items!$H$2:$H$500,0)),"UNKNOWN")</f>
        <v>Manhole</v>
      </c>
      <c r="K134" s="24" t="n">
        <f aca="false">IF(J134="UNKNOWN","",INDEX(Items!$F$2:$F$500,MATCH(I134,Items!$H$2:$H$500,0)))</f>
        <v>520</v>
      </c>
      <c r="L134" s="24" t="n">
        <f aca="false">IF(ISNUMBER(H134),G134*H134,"")</f>
        <v>3718.33</v>
      </c>
      <c r="M134" s="28" t="n">
        <f aca="false">IF(ISNUMBER(H134),G134,0)</f>
        <v>7</v>
      </c>
      <c r="N134" s="31" t="n">
        <f aca="false">IF(AND(ISNUMBER(H134),ISNUMBER(K134)),1-H134/K134,"")</f>
        <v>-0.0215192307692309</v>
      </c>
      <c r="O134" s="24" t="n">
        <f aca="false">IF(J134="UNKNOWN","",INDEX(Cost_Rollup!$F$5:$F$16,MATCH(I134,Cost_Rollup!$A$5:$A$16,0)))</f>
        <v>381.98428</v>
      </c>
      <c r="P134" s="24" t="n">
        <f aca="false">IF(AND(ISNUMBER(L134),ISNUMBER(O134)),G134*O134,"")</f>
        <v>2673.88996</v>
      </c>
      <c r="Q134" s="15" t="str">
        <f aca="false">IF(H134="","Missing price; ","")&amp;IF(J134="UNKNOWN","Unknown item; ","")&amp;IF(AND(ISNUMBER(N134),N134&gt;Discount_Threshold),"Discount above limit; ","")</f>
        <v/>
      </c>
      <c r="R134" s="15" t="str">
        <f aca="false">IF(Q134="","OK","CHECK")</f>
        <v>OK</v>
      </c>
    </row>
    <row r="135" customFormat="false" ht="15" hidden="false" customHeight="false" outlineLevel="0" collapsed="false">
      <c r="A135" s="12" t="s">
        <v>405</v>
      </c>
      <c r="B135" s="30" t="n">
        <v>45862</v>
      </c>
      <c r="C135" s="12" t="s">
        <v>257</v>
      </c>
      <c r="D135" s="12" t="s">
        <v>258</v>
      </c>
      <c r="E135" s="12" t="s">
        <v>70</v>
      </c>
      <c r="F135" s="12" t="s">
        <v>125</v>
      </c>
      <c r="G135" s="23" t="n">
        <v>21</v>
      </c>
      <c r="H135" s="22" t="n">
        <v>1368.02</v>
      </c>
      <c r="I135" s="15" t="str">
        <f aca="false">UPPER(TRIM(F135))</f>
        <v>PC-BAR-F38</v>
      </c>
      <c r="J135" s="15" t="str">
        <f aca="false">IFERROR(INDEX(Items!$C$2:$C$500,MATCH(I135,Items!$H$2:$H$500,0)),"UNKNOWN")</f>
        <v>Barrier</v>
      </c>
      <c r="K135" s="24" t="n">
        <f aca="false">IF(J135="UNKNOWN","",INDEX(Items!$F$2:$F$500,MATCH(I135,Items!$H$2:$H$500,0)))</f>
        <v>1450</v>
      </c>
      <c r="L135" s="24" t="n">
        <f aca="false">IF(ISNUMBER(H135),G135*H135,"")</f>
        <v>28728.42</v>
      </c>
      <c r="M135" s="28" t="n">
        <f aca="false">IF(ISNUMBER(H135),G135,0)</f>
        <v>21</v>
      </c>
      <c r="N135" s="31" t="n">
        <f aca="false">IF(AND(ISNUMBER(H135),ISNUMBER(K135)),1-H135/K135,"")</f>
        <v>0.0565379310344828</v>
      </c>
      <c r="O135" s="24" t="n">
        <f aca="false">IF(J135="UNKNOWN","",INDEX(Cost_Rollup!$F$5:$F$16,MATCH(I135,Cost_Rollup!$A$5:$A$16,0)))</f>
        <v>978.66328</v>
      </c>
      <c r="P135" s="24" t="n">
        <f aca="false">IF(AND(ISNUMBER(L135),ISNUMBER(O135)),G135*O135,"")</f>
        <v>20551.92888</v>
      </c>
      <c r="Q135" s="15" t="str">
        <f aca="false">IF(H135="","Missing price; ","")&amp;IF(J135="UNKNOWN","Unknown item; ","")&amp;IF(AND(ISNUMBER(N135),N135&gt;Discount_Threshold),"Discount above limit; ","")</f>
        <v/>
      </c>
      <c r="R135" s="15" t="str">
        <f aca="false">IF(Q135="","OK","CHECK")</f>
        <v>OK</v>
      </c>
    </row>
    <row r="136" customFormat="false" ht="15" hidden="false" customHeight="false" outlineLevel="0" collapsed="false">
      <c r="A136" s="12" t="s">
        <v>406</v>
      </c>
      <c r="B136" s="30" t="n">
        <v>45864</v>
      </c>
      <c r="C136" s="12" t="s">
        <v>273</v>
      </c>
      <c r="D136" s="12" t="s">
        <v>274</v>
      </c>
      <c r="E136" s="12" t="s">
        <v>147</v>
      </c>
      <c r="F136" s="12" t="s">
        <v>125</v>
      </c>
      <c r="G136" s="23" t="n">
        <v>38</v>
      </c>
      <c r="H136" s="22" t="n">
        <v>1469.85</v>
      </c>
      <c r="I136" s="15" t="str">
        <f aca="false">UPPER(TRIM(F136))</f>
        <v>PC-BAR-F38</v>
      </c>
      <c r="J136" s="15" t="str">
        <f aca="false">IFERROR(INDEX(Items!$C$2:$C$500,MATCH(I136,Items!$H$2:$H$500,0)),"UNKNOWN")</f>
        <v>Barrier</v>
      </c>
      <c r="K136" s="24" t="n">
        <f aca="false">IF(J136="UNKNOWN","",INDEX(Items!$F$2:$F$500,MATCH(I136,Items!$H$2:$H$500,0)))</f>
        <v>1450</v>
      </c>
      <c r="L136" s="24" t="n">
        <f aca="false">IF(ISNUMBER(H136),G136*H136,"")</f>
        <v>55854.3</v>
      </c>
      <c r="M136" s="28" t="n">
        <f aca="false">IF(ISNUMBER(H136),G136,0)</f>
        <v>38</v>
      </c>
      <c r="N136" s="31" t="n">
        <f aca="false">IF(AND(ISNUMBER(H136),ISNUMBER(K136)),1-H136/K136,"")</f>
        <v>-0.0136896551724137</v>
      </c>
      <c r="O136" s="24" t="n">
        <f aca="false">IF(J136="UNKNOWN","",INDEX(Cost_Rollup!$F$5:$F$16,MATCH(I136,Cost_Rollup!$A$5:$A$16,0)))</f>
        <v>978.66328</v>
      </c>
      <c r="P136" s="24" t="n">
        <f aca="false">IF(AND(ISNUMBER(L136),ISNUMBER(O136)),G136*O136,"")</f>
        <v>37189.20464</v>
      </c>
      <c r="Q136" s="15" t="str">
        <f aca="false">IF(H136="","Missing price; ","")&amp;IF(J136="UNKNOWN","Unknown item; ","")&amp;IF(AND(ISNUMBER(N136),N136&gt;Discount_Threshold),"Discount above limit; ","")</f>
        <v/>
      </c>
      <c r="R136" s="15" t="str">
        <f aca="false">IF(Q136="","OK","CHECK")</f>
        <v>OK</v>
      </c>
    </row>
    <row r="137" customFormat="false" ht="15" hidden="false" customHeight="false" outlineLevel="0" collapsed="false">
      <c r="A137" s="12" t="s">
        <v>407</v>
      </c>
      <c r="B137" s="30" t="n">
        <v>45865</v>
      </c>
      <c r="C137" s="12" t="s">
        <v>265</v>
      </c>
      <c r="D137" s="12" t="s">
        <v>266</v>
      </c>
      <c r="E137" s="12" t="s">
        <v>70</v>
      </c>
      <c r="F137" s="12" t="s">
        <v>129</v>
      </c>
      <c r="G137" s="23" t="n">
        <v>40</v>
      </c>
      <c r="H137" s="22" t="n">
        <v>2214.65</v>
      </c>
      <c r="I137" s="15" t="str">
        <f aca="false">UPPER(TRIM(F137))</f>
        <v>PC-BAR-SS60</v>
      </c>
      <c r="J137" s="15" t="str">
        <f aca="false">IFERROR(INDEX(Items!$C$2:$C$500,MATCH(I137,Items!$H$2:$H$500,0)),"UNKNOWN")</f>
        <v>Barrier</v>
      </c>
      <c r="K137" s="24" t="n">
        <f aca="false">IF(J137="UNKNOWN","",INDEX(Items!$F$2:$F$500,MATCH(I137,Items!$H$2:$H$500,0)))</f>
        <v>2350</v>
      </c>
      <c r="L137" s="24" t="n">
        <f aca="false">IF(ISNUMBER(H137),G137*H137,"")</f>
        <v>88586</v>
      </c>
      <c r="M137" s="28" t="n">
        <f aca="false">IF(ISNUMBER(H137),G137,0)</f>
        <v>40</v>
      </c>
      <c r="N137" s="31" t="n">
        <f aca="false">IF(AND(ISNUMBER(H137),ISNUMBER(K137)),1-H137/K137,"")</f>
        <v>0.057595744680851</v>
      </c>
      <c r="O137" s="24" t="n">
        <f aca="false">IF(J137="UNKNOWN","",INDEX(Cost_Rollup!$F$5:$F$16,MATCH(I137,Cost_Rollup!$A$5:$A$16,0)))</f>
        <v>1583.5454</v>
      </c>
      <c r="P137" s="24" t="n">
        <f aca="false">IF(AND(ISNUMBER(L137),ISNUMBER(O137)),G137*O137,"")</f>
        <v>63341.816</v>
      </c>
      <c r="Q137" s="15" t="str">
        <f aca="false">IF(H137="","Missing price; ","")&amp;IF(J137="UNKNOWN","Unknown item; ","")&amp;IF(AND(ISNUMBER(N137),N137&gt;Discount_Threshold),"Discount above limit; ","")</f>
        <v/>
      </c>
      <c r="R137" s="15" t="str">
        <f aca="false">IF(Q137="","OK","CHECK")</f>
        <v>OK</v>
      </c>
    </row>
    <row r="138" customFormat="false" ht="15" hidden="false" customHeight="false" outlineLevel="0" collapsed="false">
      <c r="A138" s="12" t="s">
        <v>408</v>
      </c>
      <c r="B138" s="30" t="n">
        <v>45867</v>
      </c>
      <c r="C138" s="12" t="s">
        <v>257</v>
      </c>
      <c r="D138" s="12" t="s">
        <v>258</v>
      </c>
      <c r="E138" s="12" t="s">
        <v>70</v>
      </c>
      <c r="F138" s="12" t="s">
        <v>112</v>
      </c>
      <c r="G138" s="23" t="n">
        <v>10</v>
      </c>
      <c r="H138" s="22" t="n">
        <v>4267.48</v>
      </c>
      <c r="I138" s="15" t="str">
        <f aca="false">UPPER(TRIM(F138))</f>
        <v>PC-BOX-1812</v>
      </c>
      <c r="J138" s="15" t="str">
        <f aca="false">IFERROR(INDEX(Items!$C$2:$C$500,MATCH(I138,Items!$H$2:$H$500,0)),"UNKNOWN")</f>
        <v>Box Culvert</v>
      </c>
      <c r="K138" s="24" t="n">
        <f aca="false">IF(J138="UNKNOWN","",INDEX(Items!$F$2:$F$500,MATCH(I138,Items!$H$2:$H$500,0)))</f>
        <v>4200</v>
      </c>
      <c r="L138" s="24" t="n">
        <f aca="false">IF(ISNUMBER(H138),G138*H138,"")</f>
        <v>42674.8</v>
      </c>
      <c r="M138" s="28" t="n">
        <f aca="false">IF(ISNUMBER(H138),G138,0)</f>
        <v>10</v>
      </c>
      <c r="N138" s="31" t="n">
        <f aca="false">IF(AND(ISNUMBER(H138),ISNUMBER(K138)),1-H138/K138,"")</f>
        <v>-0.0160666666666667</v>
      </c>
      <c r="O138" s="24" t="n">
        <f aca="false">IF(J138="UNKNOWN","",INDEX(Cost_Rollup!$F$5:$F$16,MATCH(I138,Cost_Rollup!$A$5:$A$16,0)))</f>
        <v>2795.3624</v>
      </c>
      <c r="P138" s="24" t="n">
        <f aca="false">IF(AND(ISNUMBER(L138),ISNUMBER(O138)),G138*O138,"")</f>
        <v>27953.624</v>
      </c>
      <c r="Q138" s="15" t="str">
        <f aca="false">IF(H138="","Missing price; ","")&amp;IF(J138="UNKNOWN","Unknown item; ","")&amp;IF(AND(ISNUMBER(N138),N138&gt;Discount_Threshold),"Discount above limit; ","")</f>
        <v/>
      </c>
      <c r="R138" s="15" t="str">
        <f aca="false">IF(Q138="","OK","CHECK")</f>
        <v>OK</v>
      </c>
    </row>
    <row r="139" customFormat="false" ht="15" hidden="false" customHeight="false" outlineLevel="0" collapsed="false">
      <c r="A139" s="12" t="s">
        <v>409</v>
      </c>
      <c r="B139" s="30" t="n">
        <v>45867</v>
      </c>
      <c r="C139" s="12" t="s">
        <v>263</v>
      </c>
      <c r="D139" s="12" t="s">
        <v>258</v>
      </c>
      <c r="E139" s="12" t="s">
        <v>70</v>
      </c>
      <c r="F139" s="12" t="s">
        <v>125</v>
      </c>
      <c r="G139" s="23" t="n">
        <v>26</v>
      </c>
      <c r="H139" s="22" t="n">
        <v>1441.85</v>
      </c>
      <c r="I139" s="15" t="str">
        <f aca="false">UPPER(TRIM(F139))</f>
        <v>PC-BAR-F38</v>
      </c>
      <c r="J139" s="15" t="str">
        <f aca="false">IFERROR(INDEX(Items!$C$2:$C$500,MATCH(I139,Items!$H$2:$H$500,0)),"UNKNOWN")</f>
        <v>Barrier</v>
      </c>
      <c r="K139" s="24" t="n">
        <f aca="false">IF(J139="UNKNOWN","",INDEX(Items!$F$2:$F$500,MATCH(I139,Items!$H$2:$H$500,0)))</f>
        <v>1450</v>
      </c>
      <c r="L139" s="24" t="n">
        <f aca="false">IF(ISNUMBER(H139),G139*H139,"")</f>
        <v>37488.1</v>
      </c>
      <c r="M139" s="28" t="n">
        <f aca="false">IF(ISNUMBER(H139),G139,0)</f>
        <v>26</v>
      </c>
      <c r="N139" s="31" t="n">
        <f aca="false">IF(AND(ISNUMBER(H139),ISNUMBER(K139)),1-H139/K139,"")</f>
        <v>0.00562068965517248</v>
      </c>
      <c r="O139" s="24" t="n">
        <f aca="false">IF(J139="UNKNOWN","",INDEX(Cost_Rollup!$F$5:$F$16,MATCH(I139,Cost_Rollup!$A$5:$A$16,0)))</f>
        <v>978.66328</v>
      </c>
      <c r="P139" s="24" t="n">
        <f aca="false">IF(AND(ISNUMBER(L139),ISNUMBER(O139)),G139*O139,"")</f>
        <v>25445.24528</v>
      </c>
      <c r="Q139" s="15" t="str">
        <f aca="false">IF(H139="","Missing price; ","")&amp;IF(J139="UNKNOWN","Unknown item; ","")&amp;IF(AND(ISNUMBER(N139),N139&gt;Discount_Threshold),"Discount above limit; ","")</f>
        <v/>
      </c>
      <c r="R139" s="15" t="str">
        <f aca="false">IF(Q139="","OK","CHECK")</f>
        <v>OK</v>
      </c>
    </row>
    <row r="140" customFormat="false" ht="15" hidden="false" customHeight="false" outlineLevel="0" collapsed="false">
      <c r="A140" s="12" t="s">
        <v>410</v>
      </c>
      <c r="B140" s="30" t="n">
        <v>45867</v>
      </c>
      <c r="C140" s="12" t="s">
        <v>268</v>
      </c>
      <c r="D140" s="12" t="s">
        <v>269</v>
      </c>
      <c r="E140" s="12" t="s">
        <v>70</v>
      </c>
      <c r="F140" s="12" t="s">
        <v>112</v>
      </c>
      <c r="G140" s="23" t="n">
        <v>2</v>
      </c>
      <c r="H140" s="22" t="n">
        <v>4259.18</v>
      </c>
      <c r="I140" s="15" t="str">
        <f aca="false">UPPER(TRIM(F140))</f>
        <v>PC-BOX-1812</v>
      </c>
      <c r="J140" s="15" t="str">
        <f aca="false">IFERROR(INDEX(Items!$C$2:$C$500,MATCH(I140,Items!$H$2:$H$500,0)),"UNKNOWN")</f>
        <v>Box Culvert</v>
      </c>
      <c r="K140" s="24" t="n">
        <f aca="false">IF(J140="UNKNOWN","",INDEX(Items!$F$2:$F$500,MATCH(I140,Items!$H$2:$H$500,0)))</f>
        <v>4200</v>
      </c>
      <c r="L140" s="24" t="n">
        <f aca="false">IF(ISNUMBER(H140),G140*H140,"")</f>
        <v>8518.36</v>
      </c>
      <c r="M140" s="28" t="n">
        <f aca="false">IF(ISNUMBER(H140),G140,0)</f>
        <v>2</v>
      </c>
      <c r="N140" s="31" t="n">
        <f aca="false">IF(AND(ISNUMBER(H140),ISNUMBER(K140)),1-H140/K140,"")</f>
        <v>-0.0140904761904763</v>
      </c>
      <c r="O140" s="24" t="n">
        <f aca="false">IF(J140="UNKNOWN","",INDEX(Cost_Rollup!$F$5:$F$16,MATCH(I140,Cost_Rollup!$A$5:$A$16,0)))</f>
        <v>2795.3624</v>
      </c>
      <c r="P140" s="24" t="n">
        <f aca="false">IF(AND(ISNUMBER(L140),ISNUMBER(O140)),G140*O140,"")</f>
        <v>5590.7248</v>
      </c>
      <c r="Q140" s="15" t="str">
        <f aca="false">IF(H140="","Missing price; ","")&amp;IF(J140="UNKNOWN","Unknown item; ","")&amp;IF(AND(ISNUMBER(N140),N140&gt;Discount_Threshold),"Discount above limit; ","")</f>
        <v/>
      </c>
      <c r="R140" s="15" t="str">
        <f aca="false">IF(Q140="","OK","CHECK")</f>
        <v>OK</v>
      </c>
    </row>
    <row r="141" customFormat="false" ht="15" hidden="false" customHeight="false" outlineLevel="0" collapsed="false">
      <c r="A141" s="12" t="s">
        <v>411</v>
      </c>
      <c r="B141" s="30" t="n">
        <v>45868</v>
      </c>
      <c r="C141" s="12" t="s">
        <v>268</v>
      </c>
      <c r="D141" s="12" t="s">
        <v>269</v>
      </c>
      <c r="E141" s="12" t="s">
        <v>70</v>
      </c>
      <c r="F141" s="12" t="s">
        <v>125</v>
      </c>
      <c r="G141" s="23" t="n">
        <v>37</v>
      </c>
      <c r="H141" s="22" t="n">
        <v>1446.76</v>
      </c>
      <c r="I141" s="15" t="str">
        <f aca="false">UPPER(TRIM(F141))</f>
        <v>PC-BAR-F38</v>
      </c>
      <c r="J141" s="15" t="str">
        <f aca="false">IFERROR(INDEX(Items!$C$2:$C$500,MATCH(I141,Items!$H$2:$H$500,0)),"UNKNOWN")</f>
        <v>Barrier</v>
      </c>
      <c r="K141" s="24" t="n">
        <f aca="false">IF(J141="UNKNOWN","",INDEX(Items!$F$2:$F$500,MATCH(I141,Items!$H$2:$H$500,0)))</f>
        <v>1450</v>
      </c>
      <c r="L141" s="24" t="n">
        <f aca="false">IF(ISNUMBER(H141),G141*H141,"")</f>
        <v>53530.12</v>
      </c>
      <c r="M141" s="28" t="n">
        <f aca="false">IF(ISNUMBER(H141),G141,0)</f>
        <v>37</v>
      </c>
      <c r="N141" s="31" t="n">
        <f aca="false">IF(AND(ISNUMBER(H141),ISNUMBER(K141)),1-H141/K141,"")</f>
        <v>0.0022344827586207</v>
      </c>
      <c r="O141" s="24" t="n">
        <f aca="false">IF(J141="UNKNOWN","",INDEX(Cost_Rollup!$F$5:$F$16,MATCH(I141,Cost_Rollup!$A$5:$A$16,0)))</f>
        <v>978.66328</v>
      </c>
      <c r="P141" s="24" t="n">
        <f aca="false">IF(AND(ISNUMBER(L141),ISNUMBER(O141)),G141*O141,"")</f>
        <v>36210.54136</v>
      </c>
      <c r="Q141" s="15" t="str">
        <f aca="false">IF(H141="","Missing price; ","")&amp;IF(J141="UNKNOWN","Unknown item; ","")&amp;IF(AND(ISNUMBER(N141),N141&gt;Discount_Threshold),"Discount above limit; ","")</f>
        <v/>
      </c>
      <c r="R141" s="15" t="str">
        <f aca="false">IF(Q141="","OK","CHECK")</f>
        <v>OK</v>
      </c>
    </row>
    <row r="142" customFormat="false" ht="15" hidden="false" customHeight="false" outlineLevel="0" collapsed="false">
      <c r="A142" s="12" t="s">
        <v>412</v>
      </c>
      <c r="B142" s="30" t="n">
        <v>45868</v>
      </c>
      <c r="C142" s="12" t="s">
        <v>273</v>
      </c>
      <c r="D142" s="12" t="s">
        <v>274</v>
      </c>
      <c r="E142" s="12" t="s">
        <v>147</v>
      </c>
      <c r="F142" s="12" t="s">
        <v>112</v>
      </c>
      <c r="G142" s="23" t="n">
        <v>6</v>
      </c>
      <c r="H142" s="22" t="n">
        <v>4269.12</v>
      </c>
      <c r="I142" s="15" t="str">
        <f aca="false">UPPER(TRIM(F142))</f>
        <v>PC-BOX-1812</v>
      </c>
      <c r="J142" s="15" t="str">
        <f aca="false">IFERROR(INDEX(Items!$C$2:$C$500,MATCH(I142,Items!$H$2:$H$500,0)),"UNKNOWN")</f>
        <v>Box Culvert</v>
      </c>
      <c r="K142" s="24" t="n">
        <f aca="false">IF(J142="UNKNOWN","",INDEX(Items!$F$2:$F$500,MATCH(I142,Items!$H$2:$H$500,0)))</f>
        <v>4200</v>
      </c>
      <c r="L142" s="24" t="n">
        <f aca="false">IF(ISNUMBER(H142),G142*H142,"")</f>
        <v>25614.72</v>
      </c>
      <c r="M142" s="28" t="n">
        <f aca="false">IF(ISNUMBER(H142),G142,0)</f>
        <v>6</v>
      </c>
      <c r="N142" s="31" t="n">
        <f aca="false">IF(AND(ISNUMBER(H142),ISNUMBER(K142)),1-H142/K142,"")</f>
        <v>-0.0164571428571427</v>
      </c>
      <c r="O142" s="24" t="n">
        <f aca="false">IF(J142="UNKNOWN","",INDEX(Cost_Rollup!$F$5:$F$16,MATCH(I142,Cost_Rollup!$A$5:$A$16,0)))</f>
        <v>2795.3624</v>
      </c>
      <c r="P142" s="24" t="n">
        <f aca="false">IF(AND(ISNUMBER(L142),ISNUMBER(O142)),G142*O142,"")</f>
        <v>16772.1744</v>
      </c>
      <c r="Q142" s="15" t="str">
        <f aca="false">IF(H142="","Missing price; ","")&amp;IF(J142="UNKNOWN","Unknown item; ","")&amp;IF(AND(ISNUMBER(N142),N142&gt;Discount_Threshold),"Discount above limit; ","")</f>
        <v/>
      </c>
      <c r="R142" s="15" t="str">
        <f aca="false">IF(Q142="","OK","CHECK")</f>
        <v>OK</v>
      </c>
    </row>
    <row r="143" customFormat="false" ht="15" hidden="false" customHeight="false" outlineLevel="0" collapsed="false">
      <c r="A143" s="12" t="s">
        <v>413</v>
      </c>
      <c r="B143" s="30" t="n">
        <v>45868</v>
      </c>
      <c r="C143" s="12" t="s">
        <v>263</v>
      </c>
      <c r="D143" s="12" t="s">
        <v>258</v>
      </c>
      <c r="E143" s="12" t="s">
        <v>70</v>
      </c>
      <c r="F143" s="12" t="s">
        <v>112</v>
      </c>
      <c r="G143" s="23" t="n">
        <v>5</v>
      </c>
      <c r="H143" s="22" t="n">
        <v>3810.05</v>
      </c>
      <c r="I143" s="15" t="str">
        <f aca="false">UPPER(TRIM(F143))</f>
        <v>PC-BOX-1812</v>
      </c>
      <c r="J143" s="15" t="str">
        <f aca="false">IFERROR(INDEX(Items!$C$2:$C$500,MATCH(I143,Items!$H$2:$H$500,0)),"UNKNOWN")</f>
        <v>Box Culvert</v>
      </c>
      <c r="K143" s="24" t="n">
        <f aca="false">IF(J143="UNKNOWN","",INDEX(Items!$F$2:$F$500,MATCH(I143,Items!$H$2:$H$500,0)))</f>
        <v>4200</v>
      </c>
      <c r="L143" s="24" t="n">
        <f aca="false">IF(ISNUMBER(H143),G143*H143,"")</f>
        <v>19050.25</v>
      </c>
      <c r="M143" s="28" t="n">
        <f aca="false">IF(ISNUMBER(H143),G143,0)</f>
        <v>5</v>
      </c>
      <c r="N143" s="31" t="n">
        <f aca="false">IF(AND(ISNUMBER(H143),ISNUMBER(K143)),1-H143/K143,"")</f>
        <v>0.092845238095238</v>
      </c>
      <c r="O143" s="24" t="n">
        <f aca="false">IF(J143="UNKNOWN","",INDEX(Cost_Rollup!$F$5:$F$16,MATCH(I143,Cost_Rollup!$A$5:$A$16,0)))</f>
        <v>2795.3624</v>
      </c>
      <c r="P143" s="24" t="n">
        <f aca="false">IF(AND(ISNUMBER(L143),ISNUMBER(O143)),G143*O143,"")</f>
        <v>13976.812</v>
      </c>
      <c r="Q143" s="15" t="str">
        <f aca="false">IF(H143="","Missing price; ","")&amp;IF(J143="UNKNOWN","Unknown item; ","")&amp;IF(AND(ISNUMBER(N143),N143&gt;Discount_Threshold),"Discount above limit; ","")</f>
        <v/>
      </c>
      <c r="R143" s="15" t="str">
        <f aca="false">IF(Q143="","OK","CHECK")</f>
        <v>OK</v>
      </c>
    </row>
    <row r="144" customFormat="false" ht="15" hidden="false" customHeight="false" outlineLevel="0" collapsed="false">
      <c r="A144" s="12" t="s">
        <v>414</v>
      </c>
      <c r="B144" s="30" t="n">
        <v>45870</v>
      </c>
      <c r="C144" s="12" t="s">
        <v>260</v>
      </c>
      <c r="D144" s="12" t="s">
        <v>258</v>
      </c>
      <c r="E144" s="12" t="s">
        <v>70</v>
      </c>
      <c r="F144" s="12" t="s">
        <v>108</v>
      </c>
      <c r="G144" s="23" t="n">
        <v>29</v>
      </c>
      <c r="H144" s="22" t="n">
        <v>1194.38</v>
      </c>
      <c r="I144" s="15" t="str">
        <f aca="false">UPPER(TRIM(F144))</f>
        <v>PC-RCP-0900</v>
      </c>
      <c r="J144" s="15" t="str">
        <f aca="false">IFERROR(INDEX(Items!$C$2:$C$500,MATCH(I144,Items!$H$2:$H$500,0)),"UNKNOWN")</f>
        <v>Pipe</v>
      </c>
      <c r="K144" s="24" t="n">
        <f aca="false">IF(J144="UNKNOWN","",INDEX(Items!$F$2:$F$500,MATCH(I144,Items!$H$2:$H$500,0)))</f>
        <v>1150</v>
      </c>
      <c r="L144" s="24" t="n">
        <f aca="false">IF(ISNUMBER(H144),G144*H144,"")</f>
        <v>34637.02</v>
      </c>
      <c r="M144" s="28" t="n">
        <f aca="false">IF(ISNUMBER(H144),G144,0)</f>
        <v>29</v>
      </c>
      <c r="N144" s="31" t="n">
        <f aca="false">IF(AND(ISNUMBER(H144),ISNUMBER(K144)),1-H144/K144,"")</f>
        <v>-0.0385913043478261</v>
      </c>
      <c r="O144" s="24" t="n">
        <f aca="false">IF(J144="UNKNOWN","",INDEX(Cost_Rollup!$F$5:$F$16,MATCH(I144,Cost_Rollup!$A$5:$A$16,0)))</f>
        <v>750.4337265687</v>
      </c>
      <c r="P144" s="24" t="n">
        <f aca="false">IF(AND(ISNUMBER(L144),ISNUMBER(O144)),G144*O144,"")</f>
        <v>21762.5780704923</v>
      </c>
      <c r="Q144" s="15" t="str">
        <f aca="false">IF(H144="","Missing price; ","")&amp;IF(J144="UNKNOWN","Unknown item; ","")&amp;IF(AND(ISNUMBER(N144),N144&gt;Discount_Threshold),"Discount above limit; ","")</f>
        <v/>
      </c>
      <c r="R144" s="15" t="str">
        <f aca="false">IF(Q144="","OK","CHECK")</f>
        <v>OK</v>
      </c>
    </row>
    <row r="145" customFormat="false" ht="15" hidden="false" customHeight="false" outlineLevel="0" collapsed="false">
      <c r="A145" s="12" t="s">
        <v>415</v>
      </c>
      <c r="B145" s="30" t="n">
        <v>45871</v>
      </c>
      <c r="C145" s="12" t="s">
        <v>292</v>
      </c>
      <c r="D145" s="12" t="s">
        <v>277</v>
      </c>
      <c r="E145" s="12" t="s">
        <v>70</v>
      </c>
      <c r="F145" s="12" t="s">
        <v>118</v>
      </c>
      <c r="G145" s="23" t="n">
        <v>3</v>
      </c>
      <c r="H145" s="22" t="n">
        <v>1240.09</v>
      </c>
      <c r="I145" s="15" t="str">
        <f aca="false">UPPER(TRIM(F145))</f>
        <v>PC-MH-1200B</v>
      </c>
      <c r="J145" s="15" t="str">
        <f aca="false">IFERROR(INDEX(Items!$C$2:$C$500,MATCH(I145,Items!$H$2:$H$500,0)),"UNKNOWN")</f>
        <v>Manhole</v>
      </c>
      <c r="K145" s="24" t="n">
        <f aca="false">IF(J145="UNKNOWN","",INDEX(Items!$F$2:$F$500,MATCH(I145,Items!$H$2:$H$500,0)))</f>
        <v>1240</v>
      </c>
      <c r="L145" s="24" t="n">
        <f aca="false">IF(ISNUMBER(H145),G145*H145,"")</f>
        <v>3720.27</v>
      </c>
      <c r="M145" s="28" t="n">
        <f aca="false">IF(ISNUMBER(H145),G145,0)</f>
        <v>3</v>
      </c>
      <c r="N145" s="31" t="n">
        <f aca="false">IF(AND(ISNUMBER(H145),ISNUMBER(K145)),1-H145/K145,"")</f>
        <v>-7.25806451611355E-005</v>
      </c>
      <c r="O145" s="24" t="n">
        <f aca="false">IF(J145="UNKNOWN","",INDEX(Cost_Rollup!$F$5:$F$16,MATCH(I145,Cost_Rollup!$A$5:$A$16,0)))</f>
        <v>753.4208</v>
      </c>
      <c r="P145" s="24" t="n">
        <f aca="false">IF(AND(ISNUMBER(L145),ISNUMBER(O145)),G145*O145,"")</f>
        <v>2260.2624</v>
      </c>
      <c r="Q145" s="15" t="str">
        <f aca="false">IF(H145="","Missing price; ","")&amp;IF(J145="UNKNOWN","Unknown item; ","")&amp;IF(AND(ISNUMBER(N145),N145&gt;Discount_Threshold),"Discount above limit; ","")</f>
        <v/>
      </c>
      <c r="R145" s="15" t="str">
        <f aca="false">IF(Q145="","OK","CHECK")</f>
        <v>OK</v>
      </c>
    </row>
    <row r="146" customFormat="false" ht="15" hidden="false" customHeight="false" outlineLevel="0" collapsed="false">
      <c r="A146" s="12" t="s">
        <v>416</v>
      </c>
      <c r="B146" s="30" t="n">
        <v>45871</v>
      </c>
      <c r="C146" s="12" t="s">
        <v>292</v>
      </c>
      <c r="D146" s="12" t="s">
        <v>277</v>
      </c>
      <c r="E146" s="12" t="s">
        <v>70</v>
      </c>
      <c r="F146" s="12" t="s">
        <v>120</v>
      </c>
      <c r="G146" s="23" t="n">
        <v>2</v>
      </c>
      <c r="H146" s="22" t="n">
        <v>486.62</v>
      </c>
      <c r="I146" s="15" t="str">
        <f aca="false">UPPER(TRIM(F146))</f>
        <v>PC-MH-1200R</v>
      </c>
      <c r="J146" s="15" t="str">
        <f aca="false">IFERROR(INDEX(Items!$C$2:$C$500,MATCH(I146,Items!$H$2:$H$500,0)),"UNKNOWN")</f>
        <v>Manhole</v>
      </c>
      <c r="K146" s="24" t="n">
        <f aca="false">IF(J146="UNKNOWN","",INDEX(Items!$F$2:$F$500,MATCH(I146,Items!$H$2:$H$500,0)))</f>
        <v>520</v>
      </c>
      <c r="L146" s="24" t="n">
        <f aca="false">IF(ISNUMBER(H146),G146*H146,"")</f>
        <v>973.24</v>
      </c>
      <c r="M146" s="28" t="n">
        <f aca="false">IF(ISNUMBER(H146),G146,0)</f>
        <v>2</v>
      </c>
      <c r="N146" s="31" t="n">
        <f aca="false">IF(AND(ISNUMBER(H146),ISNUMBER(K146)),1-H146/K146,"")</f>
        <v>0.0641923076923077</v>
      </c>
      <c r="O146" s="24" t="n">
        <f aca="false">IF(J146="UNKNOWN","",INDEX(Cost_Rollup!$F$5:$F$16,MATCH(I146,Cost_Rollup!$A$5:$A$16,0)))</f>
        <v>381.98428</v>
      </c>
      <c r="P146" s="24" t="n">
        <f aca="false">IF(AND(ISNUMBER(L146),ISNUMBER(O146)),G146*O146,"")</f>
        <v>763.96856</v>
      </c>
      <c r="Q146" s="15" t="str">
        <f aca="false">IF(H146="","Missing price; ","")&amp;IF(J146="UNKNOWN","Unknown item; ","")&amp;IF(AND(ISNUMBER(N146),N146&gt;Discount_Threshold),"Discount above limit; ","")</f>
        <v/>
      </c>
      <c r="R146" s="15" t="str">
        <f aca="false">IF(Q146="","OK","CHECK")</f>
        <v>OK</v>
      </c>
    </row>
    <row r="147" customFormat="false" ht="15" hidden="false" customHeight="false" outlineLevel="0" collapsed="false">
      <c r="A147" s="12" t="s">
        <v>417</v>
      </c>
      <c r="B147" s="30" t="n">
        <v>45873</v>
      </c>
      <c r="C147" s="12" t="s">
        <v>268</v>
      </c>
      <c r="D147" s="12" t="s">
        <v>269</v>
      </c>
      <c r="E147" s="12" t="s">
        <v>70</v>
      </c>
      <c r="F147" s="12" t="s">
        <v>120</v>
      </c>
      <c r="G147" s="23" t="n">
        <v>1</v>
      </c>
      <c r="H147" s="22" t="n">
        <v>472.17</v>
      </c>
      <c r="I147" s="15" t="str">
        <f aca="false">UPPER(TRIM(F147))</f>
        <v>PC-MH-1200R</v>
      </c>
      <c r="J147" s="15" t="str">
        <f aca="false">IFERROR(INDEX(Items!$C$2:$C$500,MATCH(I147,Items!$H$2:$H$500,0)),"UNKNOWN")</f>
        <v>Manhole</v>
      </c>
      <c r="K147" s="24" t="n">
        <f aca="false">IF(J147="UNKNOWN","",INDEX(Items!$F$2:$F$500,MATCH(I147,Items!$H$2:$H$500,0)))</f>
        <v>520</v>
      </c>
      <c r="L147" s="24" t="n">
        <f aca="false">IF(ISNUMBER(H147),G147*H147,"")</f>
        <v>472.17</v>
      </c>
      <c r="M147" s="28" t="n">
        <f aca="false">IF(ISNUMBER(H147),G147,0)</f>
        <v>1</v>
      </c>
      <c r="N147" s="31" t="n">
        <f aca="false">IF(AND(ISNUMBER(H147),ISNUMBER(K147)),1-H147/K147,"")</f>
        <v>0.0919807692307693</v>
      </c>
      <c r="O147" s="24" t="n">
        <f aca="false">IF(J147="UNKNOWN","",INDEX(Cost_Rollup!$F$5:$F$16,MATCH(I147,Cost_Rollup!$A$5:$A$16,0)))</f>
        <v>381.98428</v>
      </c>
      <c r="P147" s="24" t="n">
        <f aca="false">IF(AND(ISNUMBER(L147),ISNUMBER(O147)),G147*O147,"")</f>
        <v>381.98428</v>
      </c>
      <c r="Q147" s="15" t="str">
        <f aca="false">IF(H147="","Missing price; ","")&amp;IF(J147="UNKNOWN","Unknown item; ","")&amp;IF(AND(ISNUMBER(N147),N147&gt;Discount_Threshold),"Discount above limit; ","")</f>
        <v/>
      </c>
      <c r="R147" s="15" t="str">
        <f aca="false">IF(Q147="","OK","CHECK")</f>
        <v>OK</v>
      </c>
    </row>
    <row r="148" customFormat="false" ht="15" hidden="false" customHeight="false" outlineLevel="0" collapsed="false">
      <c r="A148" s="12" t="s">
        <v>418</v>
      </c>
      <c r="B148" s="30" t="n">
        <v>45874</v>
      </c>
      <c r="C148" s="12" t="s">
        <v>265</v>
      </c>
      <c r="D148" s="12" t="s">
        <v>266</v>
      </c>
      <c r="E148" s="12" t="s">
        <v>70</v>
      </c>
      <c r="F148" s="12" t="s">
        <v>135</v>
      </c>
      <c r="G148" s="23" t="n">
        <v>362</v>
      </c>
      <c r="H148" s="22" t="n">
        <v>139.19</v>
      </c>
      <c r="I148" s="15" t="str">
        <f aca="false">UPPER(TRIM(F148))</f>
        <v>PC-HC-250</v>
      </c>
      <c r="J148" s="15" t="str">
        <f aca="false">IFERROR(INDEX(Items!$C$2:$C$500,MATCH(I148,Items!$H$2:$H$500,0)),"UNKNOWN")</f>
        <v>Slab</v>
      </c>
      <c r="K148" s="24" t="n">
        <f aca="false">IF(J148="UNKNOWN","",INDEX(Items!$F$2:$F$500,MATCH(I148,Items!$H$2:$H$500,0)))</f>
        <v>136</v>
      </c>
      <c r="L148" s="24" t="n">
        <f aca="false">IF(ISNUMBER(H148),G148*H148,"")</f>
        <v>50386.78</v>
      </c>
      <c r="M148" s="28" t="n">
        <f aca="false">IF(ISNUMBER(H148),G148,0)</f>
        <v>362</v>
      </c>
      <c r="N148" s="31" t="n">
        <f aca="false">IF(AND(ISNUMBER(H148),ISNUMBER(K148)),1-H148/K148,"")</f>
        <v>-0.0234558823529412</v>
      </c>
      <c r="O148" s="24" t="n">
        <f aca="false">IF(J148="UNKNOWN","",INDEX(Cost_Rollup!$F$5:$F$16,MATCH(I148,Cost_Rollup!$A$5:$A$16,0)))</f>
        <v>92.94024</v>
      </c>
      <c r="P148" s="24" t="n">
        <f aca="false">IF(AND(ISNUMBER(L148),ISNUMBER(O148)),G148*O148,"")</f>
        <v>33644.36688</v>
      </c>
      <c r="Q148" s="15" t="str">
        <f aca="false">IF(H148="","Missing price; ","")&amp;IF(J148="UNKNOWN","Unknown item; ","")&amp;IF(AND(ISNUMBER(N148),N148&gt;Discount_Threshold),"Discount above limit; ","")</f>
        <v/>
      </c>
      <c r="R148" s="15" t="str">
        <f aca="false">IF(Q148="","OK","CHECK")</f>
        <v>OK</v>
      </c>
    </row>
    <row r="149" customFormat="false" ht="15" hidden="false" customHeight="false" outlineLevel="0" collapsed="false">
      <c r="A149" s="12" t="s">
        <v>419</v>
      </c>
      <c r="B149" s="30" t="n">
        <v>45876</v>
      </c>
      <c r="C149" s="12" t="s">
        <v>257</v>
      </c>
      <c r="D149" s="12" t="s">
        <v>258</v>
      </c>
      <c r="E149" s="12" t="s">
        <v>70</v>
      </c>
      <c r="F149" s="12" t="s">
        <v>129</v>
      </c>
      <c r="G149" s="23" t="n">
        <v>6</v>
      </c>
      <c r="H149" s="22" t="n">
        <v>2293.37</v>
      </c>
      <c r="I149" s="15" t="str">
        <f aca="false">UPPER(TRIM(F149))</f>
        <v>PC-BAR-SS60</v>
      </c>
      <c r="J149" s="15" t="str">
        <f aca="false">IFERROR(INDEX(Items!$C$2:$C$500,MATCH(I149,Items!$H$2:$H$500,0)),"UNKNOWN")</f>
        <v>Barrier</v>
      </c>
      <c r="K149" s="24" t="n">
        <f aca="false">IF(J149="UNKNOWN","",INDEX(Items!$F$2:$F$500,MATCH(I149,Items!$H$2:$H$500,0)))</f>
        <v>2350</v>
      </c>
      <c r="L149" s="24" t="n">
        <f aca="false">IF(ISNUMBER(H149),G149*H149,"")</f>
        <v>13760.22</v>
      </c>
      <c r="M149" s="28" t="n">
        <f aca="false">IF(ISNUMBER(H149),G149,0)</f>
        <v>6</v>
      </c>
      <c r="N149" s="31" t="n">
        <f aca="false">IF(AND(ISNUMBER(H149),ISNUMBER(K149)),1-H149/K149,"")</f>
        <v>0.0240978723404256</v>
      </c>
      <c r="O149" s="24" t="n">
        <f aca="false">IF(J149="UNKNOWN","",INDEX(Cost_Rollup!$F$5:$F$16,MATCH(I149,Cost_Rollup!$A$5:$A$16,0)))</f>
        <v>1583.5454</v>
      </c>
      <c r="P149" s="24" t="n">
        <f aca="false">IF(AND(ISNUMBER(L149),ISNUMBER(O149)),G149*O149,"")</f>
        <v>9501.2724</v>
      </c>
      <c r="Q149" s="15" t="str">
        <f aca="false">IF(H149="","Missing price; ","")&amp;IF(J149="UNKNOWN","Unknown item; ","")&amp;IF(AND(ISNUMBER(N149),N149&gt;Discount_Threshold),"Discount above limit; ","")</f>
        <v/>
      </c>
      <c r="R149" s="15" t="str">
        <f aca="false">IF(Q149="","OK","CHECK")</f>
        <v>OK</v>
      </c>
    </row>
    <row r="150" customFormat="false" ht="15" hidden="false" customHeight="false" outlineLevel="0" collapsed="false">
      <c r="A150" s="12" t="s">
        <v>420</v>
      </c>
      <c r="B150" s="30" t="n">
        <v>45876</v>
      </c>
      <c r="C150" s="12" t="s">
        <v>268</v>
      </c>
      <c r="D150" s="12" t="s">
        <v>269</v>
      </c>
      <c r="E150" s="12" t="s">
        <v>70</v>
      </c>
      <c r="F150" s="12" t="s">
        <v>118</v>
      </c>
      <c r="G150" s="23" t="n">
        <v>3</v>
      </c>
      <c r="H150" s="22" t="n">
        <v>1279.92</v>
      </c>
      <c r="I150" s="15" t="str">
        <f aca="false">UPPER(TRIM(F150))</f>
        <v>PC-MH-1200B</v>
      </c>
      <c r="J150" s="15" t="str">
        <f aca="false">IFERROR(INDEX(Items!$C$2:$C$500,MATCH(I150,Items!$H$2:$H$500,0)),"UNKNOWN")</f>
        <v>Manhole</v>
      </c>
      <c r="K150" s="24" t="n">
        <f aca="false">IF(J150="UNKNOWN","",INDEX(Items!$F$2:$F$500,MATCH(I150,Items!$H$2:$H$500,0)))</f>
        <v>1240</v>
      </c>
      <c r="L150" s="24" t="n">
        <f aca="false">IF(ISNUMBER(H150),G150*H150,"")</f>
        <v>3839.76</v>
      </c>
      <c r="M150" s="28" t="n">
        <f aca="false">IF(ISNUMBER(H150),G150,0)</f>
        <v>3</v>
      </c>
      <c r="N150" s="31" t="n">
        <f aca="false">IF(AND(ISNUMBER(H150),ISNUMBER(K150)),1-H150/K150,"")</f>
        <v>-0.0321935483870968</v>
      </c>
      <c r="O150" s="24" t="n">
        <f aca="false">IF(J150="UNKNOWN","",INDEX(Cost_Rollup!$F$5:$F$16,MATCH(I150,Cost_Rollup!$A$5:$A$16,0)))</f>
        <v>753.4208</v>
      </c>
      <c r="P150" s="24" t="n">
        <f aca="false">IF(AND(ISNUMBER(L150),ISNUMBER(O150)),G150*O150,"")</f>
        <v>2260.2624</v>
      </c>
      <c r="Q150" s="15" t="str">
        <f aca="false">IF(H150="","Missing price; ","")&amp;IF(J150="UNKNOWN","Unknown item; ","")&amp;IF(AND(ISNUMBER(N150),N150&gt;Discount_Threshold),"Discount above limit; ","")</f>
        <v/>
      </c>
      <c r="R150" s="15" t="str">
        <f aca="false">IF(Q150="","OK","CHECK")</f>
        <v>OK</v>
      </c>
    </row>
    <row r="151" customFormat="false" ht="15" hidden="false" customHeight="false" outlineLevel="0" collapsed="false">
      <c r="A151" s="12" t="s">
        <v>421</v>
      </c>
      <c r="B151" s="30" t="n">
        <v>45877</v>
      </c>
      <c r="C151" s="12" t="s">
        <v>268</v>
      </c>
      <c r="D151" s="12" t="s">
        <v>269</v>
      </c>
      <c r="E151" s="12" t="s">
        <v>70</v>
      </c>
      <c r="F151" s="12" t="s">
        <v>103</v>
      </c>
      <c r="G151" s="23" t="n">
        <v>21</v>
      </c>
      <c r="H151" s="22" t="n">
        <v>630.62</v>
      </c>
      <c r="I151" s="15" t="str">
        <f aca="false">UPPER(TRIM(F151))</f>
        <v>PC-RCP-0600</v>
      </c>
      <c r="J151" s="15" t="str">
        <f aca="false">IFERROR(INDEX(Items!$C$2:$C$500,MATCH(I151,Items!$H$2:$H$500,0)),"UNKNOWN")</f>
        <v>Pipe</v>
      </c>
      <c r="K151" s="24" t="n">
        <f aca="false">IF(J151="UNKNOWN","",INDEX(Items!$F$2:$F$500,MATCH(I151,Items!$H$2:$H$500,0)))</f>
        <v>640</v>
      </c>
      <c r="L151" s="24" t="n">
        <f aca="false">IF(ISNUMBER(H151),G151*H151,"")</f>
        <v>13243.02</v>
      </c>
      <c r="M151" s="28" t="n">
        <f aca="false">IF(ISNUMBER(H151),G151,0)</f>
        <v>21</v>
      </c>
      <c r="N151" s="31" t="n">
        <f aca="false">IF(AND(ISNUMBER(H151),ISNUMBER(K151)),1-H151/K151,"")</f>
        <v>0.01465625</v>
      </c>
      <c r="O151" s="24" t="n">
        <f aca="false">IF(J151="UNKNOWN","",INDEX(Cost_Rollup!$F$5:$F$16,MATCH(I151,Cost_Rollup!$A$5:$A$16,0)))</f>
        <v>429.94832</v>
      </c>
      <c r="P151" s="24" t="n">
        <f aca="false">IF(AND(ISNUMBER(L151),ISNUMBER(O151)),G151*O151,"")</f>
        <v>9028.91472</v>
      </c>
      <c r="Q151" s="15" t="str">
        <f aca="false">IF(H151="","Missing price; ","")&amp;IF(J151="UNKNOWN","Unknown item; ","")&amp;IF(AND(ISNUMBER(N151),N151&gt;Discount_Threshold),"Discount above limit; ","")</f>
        <v/>
      </c>
      <c r="R151" s="15" t="str">
        <f aca="false">IF(Q151="","OK","CHECK")</f>
        <v>OK</v>
      </c>
    </row>
    <row r="152" customFormat="false" ht="15" hidden="false" customHeight="false" outlineLevel="0" collapsed="false">
      <c r="A152" s="12" t="s">
        <v>422</v>
      </c>
      <c r="B152" s="30" t="n">
        <v>45879</v>
      </c>
      <c r="C152" s="12" t="s">
        <v>292</v>
      </c>
      <c r="D152" s="12" t="s">
        <v>277</v>
      </c>
      <c r="E152" s="12" t="s">
        <v>70</v>
      </c>
      <c r="F152" s="12" t="s">
        <v>108</v>
      </c>
      <c r="G152" s="23" t="n">
        <v>4</v>
      </c>
      <c r="H152" s="22" t="n">
        <v>1145.41</v>
      </c>
      <c r="I152" s="15" t="str">
        <f aca="false">UPPER(TRIM(F152))</f>
        <v>PC-RCP-0900</v>
      </c>
      <c r="J152" s="15" t="str">
        <f aca="false">IFERROR(INDEX(Items!$C$2:$C$500,MATCH(I152,Items!$H$2:$H$500,0)),"UNKNOWN")</f>
        <v>Pipe</v>
      </c>
      <c r="K152" s="24" t="n">
        <f aca="false">IF(J152="UNKNOWN","",INDEX(Items!$F$2:$F$500,MATCH(I152,Items!$H$2:$H$500,0)))</f>
        <v>1150</v>
      </c>
      <c r="L152" s="24" t="n">
        <f aca="false">IF(ISNUMBER(H152),G152*H152,"")</f>
        <v>4581.64</v>
      </c>
      <c r="M152" s="28" t="n">
        <f aca="false">IF(ISNUMBER(H152),G152,0)</f>
        <v>4</v>
      </c>
      <c r="N152" s="31" t="n">
        <f aca="false">IF(AND(ISNUMBER(H152),ISNUMBER(K152)),1-H152/K152,"")</f>
        <v>0.00399130434782602</v>
      </c>
      <c r="O152" s="24" t="n">
        <f aca="false">IF(J152="UNKNOWN","",INDEX(Cost_Rollup!$F$5:$F$16,MATCH(I152,Cost_Rollup!$A$5:$A$16,0)))</f>
        <v>750.4337265687</v>
      </c>
      <c r="P152" s="24" t="n">
        <f aca="false">IF(AND(ISNUMBER(L152),ISNUMBER(O152)),G152*O152,"")</f>
        <v>3001.7349062748</v>
      </c>
      <c r="Q152" s="15" t="str">
        <f aca="false">IF(H152="","Missing price; ","")&amp;IF(J152="UNKNOWN","Unknown item; ","")&amp;IF(AND(ISNUMBER(N152),N152&gt;Discount_Threshold),"Discount above limit; ","")</f>
        <v/>
      </c>
      <c r="R152" s="15" t="str">
        <f aca="false">IF(Q152="","OK","CHECK")</f>
        <v>OK</v>
      </c>
    </row>
    <row r="153" customFormat="false" ht="15" hidden="false" customHeight="false" outlineLevel="0" collapsed="false">
      <c r="A153" s="12" t="s">
        <v>423</v>
      </c>
      <c r="B153" s="30" t="n">
        <v>45879</v>
      </c>
      <c r="C153" s="12" t="s">
        <v>260</v>
      </c>
      <c r="D153" s="12" t="s">
        <v>258</v>
      </c>
      <c r="E153" s="12" t="s">
        <v>70</v>
      </c>
      <c r="F153" s="12" t="s">
        <v>122</v>
      </c>
      <c r="G153" s="23" t="n">
        <v>9</v>
      </c>
      <c r="H153" s="22" t="n">
        <v>626.93</v>
      </c>
      <c r="I153" s="15" t="str">
        <f aca="false">UPPER(TRIM(F153))</f>
        <v>PC-CB-0600</v>
      </c>
      <c r="J153" s="15" t="str">
        <f aca="false">IFERROR(INDEX(Items!$C$2:$C$500,MATCH(I153,Items!$H$2:$H$500,0)),"UNKNOWN")</f>
        <v>Catch Basin</v>
      </c>
      <c r="K153" s="24" t="n">
        <f aca="false">IF(J153="UNKNOWN","",INDEX(Items!$F$2:$F$500,MATCH(I153,Items!$H$2:$H$500,0)))</f>
        <v>690</v>
      </c>
      <c r="L153" s="24" t="n">
        <f aca="false">IF(ISNUMBER(H153),G153*H153,"")</f>
        <v>5642.37</v>
      </c>
      <c r="M153" s="28" t="n">
        <f aca="false">IF(ISNUMBER(H153),G153,0)</f>
        <v>9</v>
      </c>
      <c r="N153" s="31" t="n">
        <f aca="false">IF(AND(ISNUMBER(H153),ISNUMBER(K153)),1-H153/K153,"")</f>
        <v>0.0914057971014494</v>
      </c>
      <c r="O153" s="24" t="n">
        <f aca="false">IF(J153="UNKNOWN","",INDEX(Cost_Rollup!$F$5:$F$16,MATCH(I153,Cost_Rollup!$A$5:$A$16,0)))</f>
        <v>471.0488</v>
      </c>
      <c r="P153" s="24" t="n">
        <f aca="false">IF(AND(ISNUMBER(L153),ISNUMBER(O153)),G153*O153,"")</f>
        <v>4239.4392</v>
      </c>
      <c r="Q153" s="15" t="str">
        <f aca="false">IF(H153="","Missing price; ","")&amp;IF(J153="UNKNOWN","Unknown item; ","")&amp;IF(AND(ISNUMBER(N153),N153&gt;Discount_Threshold),"Discount above limit; ","")</f>
        <v/>
      </c>
      <c r="R153" s="15" t="str">
        <f aca="false">IF(Q153="","OK","CHECK")</f>
        <v>OK</v>
      </c>
    </row>
    <row r="154" customFormat="false" ht="15" hidden="false" customHeight="false" outlineLevel="0" collapsed="false">
      <c r="A154" s="12" t="s">
        <v>424</v>
      </c>
      <c r="B154" s="30" t="n">
        <v>45884</v>
      </c>
      <c r="C154" s="12" t="s">
        <v>276</v>
      </c>
      <c r="D154" s="12" t="s">
        <v>277</v>
      </c>
      <c r="E154" s="12" t="s">
        <v>70</v>
      </c>
      <c r="F154" s="12" t="s">
        <v>125</v>
      </c>
      <c r="G154" s="23" t="n">
        <v>26</v>
      </c>
      <c r="H154" s="22" t="n">
        <v>1370.51</v>
      </c>
      <c r="I154" s="15" t="str">
        <f aca="false">UPPER(TRIM(F154))</f>
        <v>PC-BAR-F38</v>
      </c>
      <c r="J154" s="15" t="str">
        <f aca="false">IFERROR(INDEX(Items!$C$2:$C$500,MATCH(I154,Items!$H$2:$H$500,0)),"UNKNOWN")</f>
        <v>Barrier</v>
      </c>
      <c r="K154" s="24" t="n">
        <f aca="false">IF(J154="UNKNOWN","",INDEX(Items!$F$2:$F$500,MATCH(I154,Items!$H$2:$H$500,0)))</f>
        <v>1450</v>
      </c>
      <c r="L154" s="24" t="n">
        <f aca="false">IF(ISNUMBER(H154),G154*H154,"")</f>
        <v>35633.26</v>
      </c>
      <c r="M154" s="28" t="n">
        <f aca="false">IF(ISNUMBER(H154),G154,0)</f>
        <v>26</v>
      </c>
      <c r="N154" s="31" t="n">
        <f aca="false">IF(AND(ISNUMBER(H154),ISNUMBER(K154)),1-H154/K154,"")</f>
        <v>0.0548206896551724</v>
      </c>
      <c r="O154" s="24" t="n">
        <f aca="false">IF(J154="UNKNOWN","",INDEX(Cost_Rollup!$F$5:$F$16,MATCH(I154,Cost_Rollup!$A$5:$A$16,0)))</f>
        <v>978.66328</v>
      </c>
      <c r="P154" s="24" t="n">
        <f aca="false">IF(AND(ISNUMBER(L154),ISNUMBER(O154)),G154*O154,"")</f>
        <v>25445.24528</v>
      </c>
      <c r="Q154" s="15" t="str">
        <f aca="false">IF(H154="","Missing price; ","")&amp;IF(J154="UNKNOWN","Unknown item; ","")&amp;IF(AND(ISNUMBER(N154),N154&gt;Discount_Threshold),"Discount above limit; ","")</f>
        <v/>
      </c>
      <c r="R154" s="15" t="str">
        <f aca="false">IF(Q154="","OK","CHECK")</f>
        <v>OK</v>
      </c>
    </row>
    <row r="155" customFormat="false" ht="15" hidden="false" customHeight="false" outlineLevel="0" collapsed="false">
      <c r="A155" s="12" t="s">
        <v>425</v>
      </c>
      <c r="B155" s="30" t="n">
        <v>45884</v>
      </c>
      <c r="C155" s="12" t="s">
        <v>285</v>
      </c>
      <c r="D155" s="12" t="s">
        <v>266</v>
      </c>
      <c r="E155" s="12" t="s">
        <v>70</v>
      </c>
      <c r="F155" s="12" t="s">
        <v>103</v>
      </c>
      <c r="G155" s="23" t="n">
        <v>15</v>
      </c>
      <c r="H155" s="22" t="n">
        <v>629.96</v>
      </c>
      <c r="I155" s="15" t="str">
        <f aca="false">UPPER(TRIM(F155))</f>
        <v>PC-RCP-0600</v>
      </c>
      <c r="J155" s="15" t="str">
        <f aca="false">IFERROR(INDEX(Items!$C$2:$C$500,MATCH(I155,Items!$H$2:$H$500,0)),"UNKNOWN")</f>
        <v>Pipe</v>
      </c>
      <c r="K155" s="24" t="n">
        <f aca="false">IF(J155="UNKNOWN","",INDEX(Items!$F$2:$F$500,MATCH(I155,Items!$H$2:$H$500,0)))</f>
        <v>640</v>
      </c>
      <c r="L155" s="24" t="n">
        <f aca="false">IF(ISNUMBER(H155),G155*H155,"")</f>
        <v>9449.4</v>
      </c>
      <c r="M155" s="28" t="n">
        <f aca="false">IF(ISNUMBER(H155),G155,0)</f>
        <v>15</v>
      </c>
      <c r="N155" s="31" t="n">
        <f aca="false">IF(AND(ISNUMBER(H155),ISNUMBER(K155)),1-H155/K155,"")</f>
        <v>0.0156875</v>
      </c>
      <c r="O155" s="24" t="n">
        <f aca="false">IF(J155="UNKNOWN","",INDEX(Cost_Rollup!$F$5:$F$16,MATCH(I155,Cost_Rollup!$A$5:$A$16,0)))</f>
        <v>429.94832</v>
      </c>
      <c r="P155" s="24" t="n">
        <f aca="false">IF(AND(ISNUMBER(L155),ISNUMBER(O155)),G155*O155,"")</f>
        <v>6449.2248</v>
      </c>
      <c r="Q155" s="15" t="str">
        <f aca="false">IF(H155="","Missing price; ","")&amp;IF(J155="UNKNOWN","Unknown item; ","")&amp;IF(AND(ISNUMBER(N155),N155&gt;Discount_Threshold),"Discount above limit; ","")</f>
        <v/>
      </c>
      <c r="R155" s="15" t="str">
        <f aca="false">IF(Q155="","OK","CHECK")</f>
        <v>OK</v>
      </c>
    </row>
    <row r="156" customFormat="false" ht="15" hidden="false" customHeight="false" outlineLevel="0" collapsed="false">
      <c r="A156" s="12" t="s">
        <v>426</v>
      </c>
      <c r="B156" s="30" t="n">
        <v>45889</v>
      </c>
      <c r="C156" s="12" t="s">
        <v>285</v>
      </c>
      <c r="D156" s="12" t="s">
        <v>266</v>
      </c>
      <c r="E156" s="12" t="s">
        <v>70</v>
      </c>
      <c r="F156" s="12" t="s">
        <v>131</v>
      </c>
      <c r="G156" s="23" t="n">
        <v>105</v>
      </c>
      <c r="H156" s="22" t="n">
        <v>113.33</v>
      </c>
      <c r="I156" s="15" t="str">
        <f aca="false">UPPER(TRIM(F156))</f>
        <v>PC-HC-200</v>
      </c>
      <c r="J156" s="15" t="str">
        <f aca="false">IFERROR(INDEX(Items!$C$2:$C$500,MATCH(I156,Items!$H$2:$H$500,0)),"UNKNOWN")</f>
        <v>Slab</v>
      </c>
      <c r="K156" s="24" t="n">
        <f aca="false">IF(J156="UNKNOWN","",INDEX(Items!$F$2:$F$500,MATCH(I156,Items!$H$2:$H$500,0)))</f>
        <v>118</v>
      </c>
      <c r="L156" s="24" t="n">
        <f aca="false">IF(ISNUMBER(H156),G156*H156,"")</f>
        <v>11899.65</v>
      </c>
      <c r="M156" s="28" t="n">
        <f aca="false">IF(ISNUMBER(H156),G156,0)</f>
        <v>105</v>
      </c>
      <c r="N156" s="31" t="n">
        <f aca="false">IF(AND(ISNUMBER(H156),ISNUMBER(K156)),1-H156/K156,"")</f>
        <v>0.0395762711864407</v>
      </c>
      <c r="O156" s="24" t="n">
        <f aca="false">IF(J156="UNKNOWN","",INDEX(Cost_Rollup!$F$5:$F$16,MATCH(I156,Cost_Rollup!$A$5:$A$16,0)))</f>
        <v>78.89382</v>
      </c>
      <c r="P156" s="24" t="n">
        <f aca="false">IF(AND(ISNUMBER(L156),ISNUMBER(O156)),G156*O156,"")</f>
        <v>8283.8511</v>
      </c>
      <c r="Q156" s="15" t="str">
        <f aca="false">IF(H156="","Missing price; ","")&amp;IF(J156="UNKNOWN","Unknown item; ","")&amp;IF(AND(ISNUMBER(N156),N156&gt;Discount_Threshold),"Discount above limit; ","")</f>
        <v/>
      </c>
      <c r="R156" s="15" t="str">
        <f aca="false">IF(Q156="","OK","CHECK")</f>
        <v>OK</v>
      </c>
    </row>
    <row r="157" customFormat="false" ht="15" hidden="false" customHeight="false" outlineLevel="0" collapsed="false">
      <c r="A157" s="12" t="s">
        <v>427</v>
      </c>
      <c r="B157" s="30" t="n">
        <v>45890</v>
      </c>
      <c r="C157" s="12" t="s">
        <v>268</v>
      </c>
      <c r="D157" s="12" t="s">
        <v>269</v>
      </c>
      <c r="E157" s="12" t="s">
        <v>70</v>
      </c>
      <c r="F157" s="12" t="s">
        <v>110</v>
      </c>
      <c r="G157" s="23" t="n">
        <v>21</v>
      </c>
      <c r="H157" s="22" t="n">
        <v>1866.87</v>
      </c>
      <c r="I157" s="15" t="str">
        <f aca="false">UPPER(TRIM(F157))</f>
        <v>PC-RCP-1200</v>
      </c>
      <c r="J157" s="15" t="str">
        <f aca="false">IFERROR(INDEX(Items!$C$2:$C$500,MATCH(I157,Items!$H$2:$H$500,0)),"UNKNOWN")</f>
        <v>Pipe</v>
      </c>
      <c r="K157" s="24" t="n">
        <f aca="false">IF(J157="UNKNOWN","",INDEX(Items!$F$2:$F$500,MATCH(I157,Items!$H$2:$H$500,0)))</f>
        <v>1890</v>
      </c>
      <c r="L157" s="24" t="n">
        <f aca="false">IF(ISNUMBER(H157),G157*H157,"")</f>
        <v>39204.27</v>
      </c>
      <c r="M157" s="28" t="n">
        <f aca="false">IF(ISNUMBER(H157),G157,0)</f>
        <v>21</v>
      </c>
      <c r="N157" s="31" t="n">
        <f aca="false">IF(AND(ISNUMBER(H157),ISNUMBER(K157)),1-H157/K157,"")</f>
        <v>0.0122380952380953</v>
      </c>
      <c r="O157" s="24" t="n">
        <f aca="false">IF(J157="UNKNOWN","",INDEX(Cost_Rollup!$F$5:$F$16,MATCH(I157,Cost_Rollup!$A$5:$A$16,0)))</f>
        <v>1206.4054</v>
      </c>
      <c r="P157" s="24" t="n">
        <f aca="false">IF(AND(ISNUMBER(L157),ISNUMBER(O157)),G157*O157,"")</f>
        <v>25334.5134</v>
      </c>
      <c r="Q157" s="15" t="str">
        <f aca="false">IF(H157="","Missing price; ","")&amp;IF(J157="UNKNOWN","Unknown item; ","")&amp;IF(AND(ISNUMBER(N157),N157&gt;Discount_Threshold),"Discount above limit; ","")</f>
        <v/>
      </c>
      <c r="R157" s="15" t="str">
        <f aca="false">IF(Q157="","OK","CHECK")</f>
        <v>OK</v>
      </c>
    </row>
    <row r="158" customFormat="false" ht="15" hidden="false" customHeight="false" outlineLevel="0" collapsed="false">
      <c r="A158" s="12" t="s">
        <v>428</v>
      </c>
      <c r="B158" s="30" t="n">
        <v>45890</v>
      </c>
      <c r="C158" s="12" t="s">
        <v>279</v>
      </c>
      <c r="D158" s="12" t="s">
        <v>280</v>
      </c>
      <c r="E158" s="12" t="s">
        <v>147</v>
      </c>
      <c r="F158" s="12" t="s">
        <v>108</v>
      </c>
      <c r="G158" s="23" t="n">
        <v>21</v>
      </c>
      <c r="H158" s="22" t="n">
        <v>1163.1</v>
      </c>
      <c r="I158" s="15" t="str">
        <f aca="false">UPPER(TRIM(F158))</f>
        <v>PC-RCP-0900</v>
      </c>
      <c r="J158" s="15" t="str">
        <f aca="false">IFERROR(INDEX(Items!$C$2:$C$500,MATCH(I158,Items!$H$2:$H$500,0)),"UNKNOWN")</f>
        <v>Pipe</v>
      </c>
      <c r="K158" s="24" t="n">
        <f aca="false">IF(J158="UNKNOWN","",INDEX(Items!$F$2:$F$500,MATCH(I158,Items!$H$2:$H$500,0)))</f>
        <v>1150</v>
      </c>
      <c r="L158" s="24" t="n">
        <f aca="false">IF(ISNUMBER(H158),G158*H158,"")</f>
        <v>24425.1</v>
      </c>
      <c r="M158" s="28" t="n">
        <f aca="false">IF(ISNUMBER(H158),G158,0)</f>
        <v>21</v>
      </c>
      <c r="N158" s="31" t="n">
        <f aca="false">IF(AND(ISNUMBER(H158),ISNUMBER(K158)),1-H158/K158,"")</f>
        <v>-0.011391304347826</v>
      </c>
      <c r="O158" s="24" t="n">
        <f aca="false">IF(J158="UNKNOWN","",INDEX(Cost_Rollup!$F$5:$F$16,MATCH(I158,Cost_Rollup!$A$5:$A$16,0)))</f>
        <v>750.4337265687</v>
      </c>
      <c r="P158" s="24" t="n">
        <f aca="false">IF(AND(ISNUMBER(L158),ISNUMBER(O158)),G158*O158,"")</f>
        <v>15759.1082579427</v>
      </c>
      <c r="Q158" s="15" t="str">
        <f aca="false">IF(H158="","Missing price; ","")&amp;IF(J158="UNKNOWN","Unknown item; ","")&amp;IF(AND(ISNUMBER(N158),N158&gt;Discount_Threshold),"Discount above limit; ","")</f>
        <v/>
      </c>
      <c r="R158" s="15" t="str">
        <f aca="false">IF(Q158="","OK","CHECK")</f>
        <v>OK</v>
      </c>
    </row>
    <row r="159" customFormat="false" ht="15" hidden="false" customHeight="false" outlineLevel="0" collapsed="false">
      <c r="A159" s="12" t="s">
        <v>429</v>
      </c>
      <c r="B159" s="30" t="n">
        <v>45892</v>
      </c>
      <c r="C159" s="12" t="s">
        <v>276</v>
      </c>
      <c r="D159" s="12" t="s">
        <v>277</v>
      </c>
      <c r="E159" s="12" t="s">
        <v>70</v>
      </c>
      <c r="F159" s="12" t="s">
        <v>131</v>
      </c>
      <c r="G159" s="23" t="n">
        <v>58</v>
      </c>
      <c r="H159" s="22" t="n">
        <v>112.08</v>
      </c>
      <c r="I159" s="15" t="str">
        <f aca="false">UPPER(TRIM(F159))</f>
        <v>PC-HC-200</v>
      </c>
      <c r="J159" s="15" t="str">
        <f aca="false">IFERROR(INDEX(Items!$C$2:$C$500,MATCH(I159,Items!$H$2:$H$500,0)),"UNKNOWN")</f>
        <v>Slab</v>
      </c>
      <c r="K159" s="24" t="n">
        <f aca="false">IF(J159="UNKNOWN","",INDEX(Items!$F$2:$F$500,MATCH(I159,Items!$H$2:$H$500,0)))</f>
        <v>118</v>
      </c>
      <c r="L159" s="24" t="n">
        <f aca="false">IF(ISNUMBER(H159),G159*H159,"")</f>
        <v>6500.64</v>
      </c>
      <c r="M159" s="28" t="n">
        <f aca="false">IF(ISNUMBER(H159),G159,0)</f>
        <v>58</v>
      </c>
      <c r="N159" s="31" t="n">
        <f aca="false">IF(AND(ISNUMBER(H159),ISNUMBER(K159)),1-H159/K159,"")</f>
        <v>0.0501694915254237</v>
      </c>
      <c r="O159" s="24" t="n">
        <f aca="false">IF(J159="UNKNOWN","",INDEX(Cost_Rollup!$F$5:$F$16,MATCH(I159,Cost_Rollup!$A$5:$A$16,0)))</f>
        <v>78.89382</v>
      </c>
      <c r="P159" s="24" t="n">
        <f aca="false">IF(AND(ISNUMBER(L159),ISNUMBER(O159)),G159*O159,"")</f>
        <v>4575.84156</v>
      </c>
      <c r="Q159" s="15" t="str">
        <f aca="false">IF(H159="","Missing price; ","")&amp;IF(J159="UNKNOWN","Unknown item; ","")&amp;IF(AND(ISNUMBER(N159),N159&gt;Discount_Threshold),"Discount above limit; ","")</f>
        <v/>
      </c>
      <c r="R159" s="15" t="str">
        <f aca="false">IF(Q159="","OK","CHECK")</f>
        <v>OK</v>
      </c>
    </row>
    <row r="160" customFormat="false" ht="15" hidden="false" customHeight="false" outlineLevel="0" collapsed="false">
      <c r="A160" s="12" t="s">
        <v>430</v>
      </c>
      <c r="B160" s="30" t="n">
        <v>45894</v>
      </c>
      <c r="C160" s="12" t="s">
        <v>285</v>
      </c>
      <c r="D160" s="12" t="s">
        <v>266</v>
      </c>
      <c r="E160" s="12" t="s">
        <v>70</v>
      </c>
      <c r="F160" s="12" t="s">
        <v>108</v>
      </c>
      <c r="G160" s="23" t="n">
        <v>16</v>
      </c>
      <c r="H160" s="22" t="n">
        <v>1163.66</v>
      </c>
      <c r="I160" s="15" t="str">
        <f aca="false">UPPER(TRIM(F160))</f>
        <v>PC-RCP-0900</v>
      </c>
      <c r="J160" s="15" t="str">
        <f aca="false">IFERROR(INDEX(Items!$C$2:$C$500,MATCH(I160,Items!$H$2:$H$500,0)),"UNKNOWN")</f>
        <v>Pipe</v>
      </c>
      <c r="K160" s="24" t="n">
        <f aca="false">IF(J160="UNKNOWN","",INDEX(Items!$F$2:$F$500,MATCH(I160,Items!$H$2:$H$500,0)))</f>
        <v>1150</v>
      </c>
      <c r="L160" s="24" t="n">
        <f aca="false">IF(ISNUMBER(H160),G160*H160,"")</f>
        <v>18618.56</v>
      </c>
      <c r="M160" s="28" t="n">
        <f aca="false">IF(ISNUMBER(H160),G160,0)</f>
        <v>16</v>
      </c>
      <c r="N160" s="31" t="n">
        <f aca="false">IF(AND(ISNUMBER(H160),ISNUMBER(K160)),1-H160/K160,"")</f>
        <v>-0.0118782608695653</v>
      </c>
      <c r="O160" s="24" t="n">
        <f aca="false">IF(J160="UNKNOWN","",INDEX(Cost_Rollup!$F$5:$F$16,MATCH(I160,Cost_Rollup!$A$5:$A$16,0)))</f>
        <v>750.4337265687</v>
      </c>
      <c r="P160" s="24" t="n">
        <f aca="false">IF(AND(ISNUMBER(L160),ISNUMBER(O160)),G160*O160,"")</f>
        <v>12006.9396250992</v>
      </c>
      <c r="Q160" s="15" t="str">
        <f aca="false">IF(H160="","Missing price; ","")&amp;IF(J160="UNKNOWN","Unknown item; ","")&amp;IF(AND(ISNUMBER(N160),N160&gt;Discount_Threshold),"Discount above limit; ","")</f>
        <v/>
      </c>
      <c r="R160" s="15" t="str">
        <f aca="false">IF(Q160="","OK","CHECK")</f>
        <v>OK</v>
      </c>
    </row>
    <row r="161" customFormat="false" ht="15" hidden="false" customHeight="false" outlineLevel="0" collapsed="false">
      <c r="A161" s="12" t="s">
        <v>431</v>
      </c>
      <c r="B161" s="30" t="n">
        <v>45894</v>
      </c>
      <c r="C161" s="12" t="s">
        <v>265</v>
      </c>
      <c r="D161" s="12" t="s">
        <v>266</v>
      </c>
      <c r="E161" s="12" t="s">
        <v>70</v>
      </c>
      <c r="F161" s="12" t="s">
        <v>110</v>
      </c>
      <c r="G161" s="23" t="n">
        <v>20</v>
      </c>
      <c r="H161" s="22" t="n">
        <v>1780.92</v>
      </c>
      <c r="I161" s="15" t="str">
        <f aca="false">UPPER(TRIM(F161))</f>
        <v>PC-RCP-1200</v>
      </c>
      <c r="J161" s="15" t="str">
        <f aca="false">IFERROR(INDEX(Items!$C$2:$C$500,MATCH(I161,Items!$H$2:$H$500,0)),"UNKNOWN")</f>
        <v>Pipe</v>
      </c>
      <c r="K161" s="24" t="n">
        <f aca="false">IF(J161="UNKNOWN","",INDEX(Items!$F$2:$F$500,MATCH(I161,Items!$H$2:$H$500,0)))</f>
        <v>1890</v>
      </c>
      <c r="L161" s="24" t="n">
        <f aca="false">IF(ISNUMBER(H161),G161*H161,"")</f>
        <v>35618.4</v>
      </c>
      <c r="M161" s="28" t="n">
        <f aca="false">IF(ISNUMBER(H161),G161,0)</f>
        <v>20</v>
      </c>
      <c r="N161" s="31" t="n">
        <f aca="false">IF(AND(ISNUMBER(H161),ISNUMBER(K161)),1-H161/K161,"")</f>
        <v>0.0577142857142857</v>
      </c>
      <c r="O161" s="24" t="n">
        <f aca="false">IF(J161="UNKNOWN","",INDEX(Cost_Rollup!$F$5:$F$16,MATCH(I161,Cost_Rollup!$A$5:$A$16,0)))</f>
        <v>1206.4054</v>
      </c>
      <c r="P161" s="24" t="n">
        <f aca="false">IF(AND(ISNUMBER(L161),ISNUMBER(O161)),G161*O161,"")</f>
        <v>24128.108</v>
      </c>
      <c r="Q161" s="15" t="str">
        <f aca="false">IF(H161="","Missing price; ","")&amp;IF(J161="UNKNOWN","Unknown item; ","")&amp;IF(AND(ISNUMBER(N161),N161&gt;Discount_Threshold),"Discount above limit; ","")</f>
        <v/>
      </c>
      <c r="R161" s="15" t="str">
        <f aca="false">IF(Q161="","OK","CHECK")</f>
        <v>OK</v>
      </c>
    </row>
    <row r="162" customFormat="false" ht="15" hidden="false" customHeight="false" outlineLevel="0" collapsed="false">
      <c r="A162" s="12" t="s">
        <v>432</v>
      </c>
      <c r="B162" s="30" t="n">
        <v>45896</v>
      </c>
      <c r="C162" s="12" t="s">
        <v>279</v>
      </c>
      <c r="D162" s="12" t="s">
        <v>280</v>
      </c>
      <c r="E162" s="12" t="s">
        <v>147</v>
      </c>
      <c r="F162" s="12" t="s">
        <v>135</v>
      </c>
      <c r="G162" s="23" t="n">
        <v>319</v>
      </c>
      <c r="H162" s="22"/>
      <c r="I162" s="15" t="str">
        <f aca="false">UPPER(TRIM(F162))</f>
        <v>PC-HC-250</v>
      </c>
      <c r="J162" s="15" t="str">
        <f aca="false">IFERROR(INDEX(Items!$C$2:$C$500,MATCH(I162,Items!$H$2:$H$500,0)),"UNKNOWN")</f>
        <v>Slab</v>
      </c>
      <c r="K162" s="24" t="n">
        <f aca="false">IF(J162="UNKNOWN","",INDEX(Items!$F$2:$F$500,MATCH(I162,Items!$H$2:$H$500,0)))</f>
        <v>136</v>
      </c>
      <c r="L162" s="24" t="str">
        <f aca="false">IF(ISNUMBER(H162),G162*H162,"")</f>
        <v/>
      </c>
      <c r="M162" s="28" t="n">
        <f aca="false">IF(ISNUMBER(H162),G162,0)</f>
        <v>0</v>
      </c>
      <c r="N162" s="31" t="str">
        <f aca="false">IF(AND(ISNUMBER(H162),ISNUMBER(K162)),1-H162/K162,"")</f>
        <v/>
      </c>
      <c r="O162" s="24" t="n">
        <f aca="false">IF(J162="UNKNOWN","",INDEX(Cost_Rollup!$F$5:$F$16,MATCH(I162,Cost_Rollup!$A$5:$A$16,0)))</f>
        <v>92.94024</v>
      </c>
      <c r="P162" s="24" t="str">
        <f aca="false">IF(AND(ISNUMBER(L162),ISNUMBER(O162)),G162*O162,"")</f>
        <v/>
      </c>
      <c r="Q162" s="15" t="str">
        <f aca="false">IF(H162="","Missing price; ","")&amp;IF(J162="UNKNOWN","Unknown item; ","")&amp;IF(AND(ISNUMBER(N162),N162&gt;Discount_Threshold),"Discount above limit; ","")</f>
        <v>Missing price; </v>
      </c>
      <c r="R162" s="15" t="str">
        <f aca="false">IF(Q162="","OK","CHECK")</f>
        <v>CHECK</v>
      </c>
    </row>
    <row r="163" customFormat="false" ht="15" hidden="false" customHeight="false" outlineLevel="0" collapsed="false">
      <c r="A163" s="12" t="s">
        <v>433</v>
      </c>
      <c r="B163" s="30" t="n">
        <v>45897</v>
      </c>
      <c r="C163" s="12" t="s">
        <v>276</v>
      </c>
      <c r="D163" s="12" t="s">
        <v>277</v>
      </c>
      <c r="E163" s="12" t="s">
        <v>70</v>
      </c>
      <c r="F163" s="12" t="s">
        <v>122</v>
      </c>
      <c r="G163" s="23" t="n">
        <v>7</v>
      </c>
      <c r="H163" s="22" t="n">
        <v>710.02</v>
      </c>
      <c r="I163" s="15" t="str">
        <f aca="false">UPPER(TRIM(F163))</f>
        <v>PC-CB-0600</v>
      </c>
      <c r="J163" s="15" t="str">
        <f aca="false">IFERROR(INDEX(Items!$C$2:$C$500,MATCH(I163,Items!$H$2:$H$500,0)),"UNKNOWN")</f>
        <v>Catch Basin</v>
      </c>
      <c r="K163" s="24" t="n">
        <f aca="false">IF(J163="UNKNOWN","",INDEX(Items!$F$2:$F$500,MATCH(I163,Items!$H$2:$H$500,0)))</f>
        <v>690</v>
      </c>
      <c r="L163" s="24" t="n">
        <f aca="false">IF(ISNUMBER(H163),G163*H163,"")</f>
        <v>4970.14</v>
      </c>
      <c r="M163" s="28" t="n">
        <f aca="false">IF(ISNUMBER(H163),G163,0)</f>
        <v>7</v>
      </c>
      <c r="N163" s="31" t="n">
        <f aca="false">IF(AND(ISNUMBER(H163),ISNUMBER(K163)),1-H163/K163,"")</f>
        <v>-0.0290144927536231</v>
      </c>
      <c r="O163" s="24" t="n">
        <f aca="false">IF(J163="UNKNOWN","",INDEX(Cost_Rollup!$F$5:$F$16,MATCH(I163,Cost_Rollup!$A$5:$A$16,0)))</f>
        <v>471.0488</v>
      </c>
      <c r="P163" s="24" t="n">
        <f aca="false">IF(AND(ISNUMBER(L163),ISNUMBER(O163)),G163*O163,"")</f>
        <v>3297.3416</v>
      </c>
      <c r="Q163" s="15" t="str">
        <f aca="false">IF(H163="","Missing price; ","")&amp;IF(J163="UNKNOWN","Unknown item; ","")&amp;IF(AND(ISNUMBER(N163),N163&gt;Discount_Threshold),"Discount above limit; ","")</f>
        <v/>
      </c>
      <c r="R163" s="15" t="str">
        <f aca="false">IF(Q163="","OK","CHECK")</f>
        <v>OK</v>
      </c>
    </row>
    <row r="164" customFormat="false" ht="15" hidden="false" customHeight="false" outlineLevel="0" collapsed="false">
      <c r="A164" s="12" t="s">
        <v>434</v>
      </c>
      <c r="B164" s="30" t="n">
        <v>45897</v>
      </c>
      <c r="C164" s="12" t="s">
        <v>276</v>
      </c>
      <c r="D164" s="12" t="s">
        <v>277</v>
      </c>
      <c r="E164" s="12" t="s">
        <v>70</v>
      </c>
      <c r="F164" s="12" t="s">
        <v>122</v>
      </c>
      <c r="G164" s="23" t="n">
        <v>12</v>
      </c>
      <c r="H164" s="22" t="n">
        <v>677.08</v>
      </c>
      <c r="I164" s="15" t="str">
        <f aca="false">UPPER(TRIM(F164))</f>
        <v>PC-CB-0600</v>
      </c>
      <c r="J164" s="15" t="str">
        <f aca="false">IFERROR(INDEX(Items!$C$2:$C$500,MATCH(I164,Items!$H$2:$H$500,0)),"UNKNOWN")</f>
        <v>Catch Basin</v>
      </c>
      <c r="K164" s="24" t="n">
        <f aca="false">IF(J164="UNKNOWN","",INDEX(Items!$F$2:$F$500,MATCH(I164,Items!$H$2:$H$500,0)))</f>
        <v>690</v>
      </c>
      <c r="L164" s="24" t="n">
        <f aca="false">IF(ISNUMBER(H164),G164*H164,"")</f>
        <v>8124.96</v>
      </c>
      <c r="M164" s="28" t="n">
        <f aca="false">IF(ISNUMBER(H164),G164,0)</f>
        <v>12</v>
      </c>
      <c r="N164" s="31" t="n">
        <f aca="false">IF(AND(ISNUMBER(H164),ISNUMBER(K164)),1-H164/K164,"")</f>
        <v>0.0187246376811594</v>
      </c>
      <c r="O164" s="24" t="n">
        <f aca="false">IF(J164="UNKNOWN","",INDEX(Cost_Rollup!$F$5:$F$16,MATCH(I164,Cost_Rollup!$A$5:$A$16,0)))</f>
        <v>471.0488</v>
      </c>
      <c r="P164" s="24" t="n">
        <f aca="false">IF(AND(ISNUMBER(L164),ISNUMBER(O164)),G164*O164,"")</f>
        <v>5652.5856</v>
      </c>
      <c r="Q164" s="15" t="str">
        <f aca="false">IF(H164="","Missing price; ","")&amp;IF(J164="UNKNOWN","Unknown item; ","")&amp;IF(AND(ISNUMBER(N164),N164&gt;Discount_Threshold),"Discount above limit; ","")</f>
        <v/>
      </c>
      <c r="R164" s="15" t="str">
        <f aca="false">IF(Q164="","OK","CHECK")</f>
        <v>OK</v>
      </c>
    </row>
    <row r="165" customFormat="false" ht="15" hidden="false" customHeight="false" outlineLevel="0" collapsed="false">
      <c r="A165" s="12" t="s">
        <v>435</v>
      </c>
      <c r="B165" s="30" t="n">
        <v>45900</v>
      </c>
      <c r="C165" s="12" t="s">
        <v>279</v>
      </c>
      <c r="D165" s="12" t="s">
        <v>280</v>
      </c>
      <c r="E165" s="12" t="s">
        <v>147</v>
      </c>
      <c r="F165" s="12" t="s">
        <v>120</v>
      </c>
      <c r="G165" s="23" t="n">
        <v>5</v>
      </c>
      <c r="H165" s="22" t="n">
        <v>502.05</v>
      </c>
      <c r="I165" s="15" t="str">
        <f aca="false">UPPER(TRIM(F165))</f>
        <v>PC-MH-1200R</v>
      </c>
      <c r="J165" s="15" t="str">
        <f aca="false">IFERROR(INDEX(Items!$C$2:$C$500,MATCH(I165,Items!$H$2:$H$500,0)),"UNKNOWN")</f>
        <v>Manhole</v>
      </c>
      <c r="K165" s="24" t="n">
        <f aca="false">IF(J165="UNKNOWN","",INDEX(Items!$F$2:$F$500,MATCH(I165,Items!$H$2:$H$500,0)))</f>
        <v>520</v>
      </c>
      <c r="L165" s="24" t="n">
        <f aca="false">IF(ISNUMBER(H165),G165*H165,"")</f>
        <v>2510.25</v>
      </c>
      <c r="M165" s="28" t="n">
        <f aca="false">IF(ISNUMBER(H165),G165,0)</f>
        <v>5</v>
      </c>
      <c r="N165" s="31" t="n">
        <f aca="false">IF(AND(ISNUMBER(H165),ISNUMBER(K165)),1-H165/K165,"")</f>
        <v>0.0345192307692308</v>
      </c>
      <c r="O165" s="24" t="n">
        <f aca="false">IF(J165="UNKNOWN","",INDEX(Cost_Rollup!$F$5:$F$16,MATCH(I165,Cost_Rollup!$A$5:$A$16,0)))</f>
        <v>381.98428</v>
      </c>
      <c r="P165" s="24" t="n">
        <f aca="false">IF(AND(ISNUMBER(L165),ISNUMBER(O165)),G165*O165,"")</f>
        <v>1909.9214</v>
      </c>
      <c r="Q165" s="15" t="str">
        <f aca="false">IF(H165="","Missing price; ","")&amp;IF(J165="UNKNOWN","Unknown item; ","")&amp;IF(AND(ISNUMBER(N165),N165&gt;Discount_Threshold),"Discount above limit; ","")</f>
        <v/>
      </c>
      <c r="R165" s="15" t="str">
        <f aca="false">IF(Q165="","OK","CHECK")</f>
        <v>OK</v>
      </c>
    </row>
    <row r="166" customFormat="false" ht="15" hidden="false" customHeight="false" outlineLevel="0" collapsed="false">
      <c r="A166" s="12" t="s">
        <v>436</v>
      </c>
      <c r="B166" s="30" t="n">
        <v>45900</v>
      </c>
      <c r="C166" s="12" t="s">
        <v>265</v>
      </c>
      <c r="D166" s="12" t="s">
        <v>266</v>
      </c>
      <c r="E166" s="12" t="s">
        <v>70</v>
      </c>
      <c r="F166" s="12" t="s">
        <v>135</v>
      </c>
      <c r="G166" s="23" t="n">
        <v>218</v>
      </c>
      <c r="H166" s="22" t="n">
        <v>136.85</v>
      </c>
      <c r="I166" s="15" t="str">
        <f aca="false">UPPER(TRIM(F166))</f>
        <v>PC-HC-250</v>
      </c>
      <c r="J166" s="15" t="str">
        <f aca="false">IFERROR(INDEX(Items!$C$2:$C$500,MATCH(I166,Items!$H$2:$H$500,0)),"UNKNOWN")</f>
        <v>Slab</v>
      </c>
      <c r="K166" s="24" t="n">
        <f aca="false">IF(J166="UNKNOWN","",INDEX(Items!$F$2:$F$500,MATCH(I166,Items!$H$2:$H$500,0)))</f>
        <v>136</v>
      </c>
      <c r="L166" s="24" t="n">
        <f aca="false">IF(ISNUMBER(H166),G166*H166,"")</f>
        <v>29833.3</v>
      </c>
      <c r="M166" s="28" t="n">
        <f aca="false">IF(ISNUMBER(H166),G166,0)</f>
        <v>218</v>
      </c>
      <c r="N166" s="31" t="n">
        <f aca="false">IF(AND(ISNUMBER(H166),ISNUMBER(K166)),1-H166/K166,"")</f>
        <v>-0.00624999999999987</v>
      </c>
      <c r="O166" s="24" t="n">
        <f aca="false">IF(J166="UNKNOWN","",INDEX(Cost_Rollup!$F$5:$F$16,MATCH(I166,Cost_Rollup!$A$5:$A$16,0)))</f>
        <v>92.94024</v>
      </c>
      <c r="P166" s="24" t="n">
        <f aca="false">IF(AND(ISNUMBER(L166),ISNUMBER(O166)),G166*O166,"")</f>
        <v>20260.97232</v>
      </c>
      <c r="Q166" s="15" t="str">
        <f aca="false">IF(H166="","Missing price; ","")&amp;IF(J166="UNKNOWN","Unknown item; ","")&amp;IF(AND(ISNUMBER(N166),N166&gt;Discount_Threshold),"Discount above limit; ","")</f>
        <v/>
      </c>
      <c r="R166" s="15" t="str">
        <f aca="false">IF(Q166="","OK","CHECK")</f>
        <v>OK</v>
      </c>
    </row>
    <row r="167" customFormat="false" ht="15" hidden="false" customHeight="false" outlineLevel="0" collapsed="false">
      <c r="A167" s="12" t="s">
        <v>437</v>
      </c>
      <c r="B167" s="30" t="n">
        <v>45900</v>
      </c>
      <c r="C167" s="12" t="s">
        <v>265</v>
      </c>
      <c r="D167" s="12" t="s">
        <v>266</v>
      </c>
      <c r="E167" s="12" t="s">
        <v>70</v>
      </c>
      <c r="F167" s="12" t="s">
        <v>129</v>
      </c>
      <c r="G167" s="23" t="n">
        <v>15</v>
      </c>
      <c r="H167" s="22" t="n">
        <v>2347.11</v>
      </c>
      <c r="I167" s="15" t="str">
        <f aca="false">UPPER(TRIM(F167))</f>
        <v>PC-BAR-SS60</v>
      </c>
      <c r="J167" s="15" t="str">
        <f aca="false">IFERROR(INDEX(Items!$C$2:$C$500,MATCH(I167,Items!$H$2:$H$500,0)),"UNKNOWN")</f>
        <v>Barrier</v>
      </c>
      <c r="K167" s="24" t="n">
        <f aca="false">IF(J167="UNKNOWN","",INDEX(Items!$F$2:$F$500,MATCH(I167,Items!$H$2:$H$500,0)))</f>
        <v>2350</v>
      </c>
      <c r="L167" s="24" t="n">
        <f aca="false">IF(ISNUMBER(H167),G167*H167,"")</f>
        <v>35206.65</v>
      </c>
      <c r="M167" s="28" t="n">
        <f aca="false">IF(ISNUMBER(H167),G167,0)</f>
        <v>15</v>
      </c>
      <c r="N167" s="31" t="n">
        <f aca="false">IF(AND(ISNUMBER(H167),ISNUMBER(K167)),1-H167/K167,"")</f>
        <v>0.00122978723404255</v>
      </c>
      <c r="O167" s="24" t="n">
        <f aca="false">IF(J167="UNKNOWN","",INDEX(Cost_Rollup!$F$5:$F$16,MATCH(I167,Cost_Rollup!$A$5:$A$16,0)))</f>
        <v>1583.5454</v>
      </c>
      <c r="P167" s="24" t="n">
        <f aca="false">IF(AND(ISNUMBER(L167),ISNUMBER(O167)),G167*O167,"")</f>
        <v>23753.181</v>
      </c>
      <c r="Q167" s="15" t="str">
        <f aca="false">IF(H167="","Missing price; ","")&amp;IF(J167="UNKNOWN","Unknown item; ","")&amp;IF(AND(ISNUMBER(N167),N167&gt;Discount_Threshold),"Discount above limit; ","")</f>
        <v/>
      </c>
      <c r="R167" s="15" t="str">
        <f aca="false">IF(Q167="","OK","CHECK")</f>
        <v>OK</v>
      </c>
    </row>
    <row r="168" customFormat="false" ht="15" hidden="false" customHeight="false" outlineLevel="0" collapsed="false">
      <c r="A168" s="12" t="s">
        <v>438</v>
      </c>
      <c r="B168" s="30" t="n">
        <v>45901</v>
      </c>
      <c r="C168" s="12" t="s">
        <v>265</v>
      </c>
      <c r="D168" s="12" t="s">
        <v>266</v>
      </c>
      <c r="E168" s="12" t="s">
        <v>70</v>
      </c>
      <c r="F168" s="12" t="s">
        <v>118</v>
      </c>
      <c r="G168" s="23" t="n">
        <v>5</v>
      </c>
      <c r="H168" s="22" t="n">
        <v>1204.93</v>
      </c>
      <c r="I168" s="15" t="str">
        <f aca="false">UPPER(TRIM(F168))</f>
        <v>PC-MH-1200B</v>
      </c>
      <c r="J168" s="15" t="str">
        <f aca="false">IFERROR(INDEX(Items!$C$2:$C$500,MATCH(I168,Items!$H$2:$H$500,0)),"UNKNOWN")</f>
        <v>Manhole</v>
      </c>
      <c r="K168" s="24" t="n">
        <f aca="false">IF(J168="UNKNOWN","",INDEX(Items!$F$2:$F$500,MATCH(I168,Items!$H$2:$H$500,0)))</f>
        <v>1240</v>
      </c>
      <c r="L168" s="24" t="n">
        <f aca="false">IF(ISNUMBER(H168),G168*H168,"")</f>
        <v>6024.65</v>
      </c>
      <c r="M168" s="28" t="n">
        <f aca="false">IF(ISNUMBER(H168),G168,0)</f>
        <v>5</v>
      </c>
      <c r="N168" s="31" t="n">
        <f aca="false">IF(AND(ISNUMBER(H168),ISNUMBER(K168)),1-H168/K168,"")</f>
        <v>0.0282822580645161</v>
      </c>
      <c r="O168" s="24" t="n">
        <f aca="false">IF(J168="UNKNOWN","",INDEX(Cost_Rollup!$F$5:$F$16,MATCH(I168,Cost_Rollup!$A$5:$A$16,0)))</f>
        <v>753.4208</v>
      </c>
      <c r="P168" s="24" t="n">
        <f aca="false">IF(AND(ISNUMBER(L168),ISNUMBER(O168)),G168*O168,"")</f>
        <v>3767.104</v>
      </c>
      <c r="Q168" s="15" t="str">
        <f aca="false">IF(H168="","Missing price; ","")&amp;IF(J168="UNKNOWN","Unknown item; ","")&amp;IF(AND(ISNUMBER(N168),N168&gt;Discount_Threshold),"Discount above limit; ","")</f>
        <v/>
      </c>
      <c r="R168" s="15" t="str">
        <f aca="false">IF(Q168="","OK","CHECK")</f>
        <v>OK</v>
      </c>
    </row>
    <row r="169" customFormat="false" ht="15" hidden="false" customHeight="false" outlineLevel="0" collapsed="false">
      <c r="A169" s="12" t="s">
        <v>439</v>
      </c>
      <c r="B169" s="30" t="n">
        <v>45902</v>
      </c>
      <c r="C169" s="12" t="s">
        <v>265</v>
      </c>
      <c r="D169" s="12" t="s">
        <v>266</v>
      </c>
      <c r="E169" s="12" t="s">
        <v>70</v>
      </c>
      <c r="F169" s="12" t="s">
        <v>120</v>
      </c>
      <c r="G169" s="23" t="n">
        <v>4</v>
      </c>
      <c r="H169" s="22" t="n">
        <v>505.43</v>
      </c>
      <c r="I169" s="15" t="str">
        <f aca="false">UPPER(TRIM(F169))</f>
        <v>PC-MH-1200R</v>
      </c>
      <c r="J169" s="15" t="str">
        <f aca="false">IFERROR(INDEX(Items!$C$2:$C$500,MATCH(I169,Items!$H$2:$H$500,0)),"UNKNOWN")</f>
        <v>Manhole</v>
      </c>
      <c r="K169" s="24" t="n">
        <f aca="false">IF(J169="UNKNOWN","",INDEX(Items!$F$2:$F$500,MATCH(I169,Items!$H$2:$H$500,0)))</f>
        <v>520</v>
      </c>
      <c r="L169" s="24" t="n">
        <f aca="false">IF(ISNUMBER(H169),G169*H169,"")</f>
        <v>2021.72</v>
      </c>
      <c r="M169" s="28" t="n">
        <f aca="false">IF(ISNUMBER(H169),G169,0)</f>
        <v>4</v>
      </c>
      <c r="N169" s="31" t="n">
        <f aca="false">IF(AND(ISNUMBER(H169),ISNUMBER(K169)),1-H169/K169,"")</f>
        <v>0.0280192307692307</v>
      </c>
      <c r="O169" s="24" t="n">
        <f aca="false">IF(J169="UNKNOWN","",INDEX(Cost_Rollup!$F$5:$F$16,MATCH(I169,Cost_Rollup!$A$5:$A$16,0)))</f>
        <v>381.98428</v>
      </c>
      <c r="P169" s="24" t="n">
        <f aca="false">IF(AND(ISNUMBER(L169),ISNUMBER(O169)),G169*O169,"")</f>
        <v>1527.93712</v>
      </c>
      <c r="Q169" s="15" t="str">
        <f aca="false">IF(H169="","Missing price; ","")&amp;IF(J169="UNKNOWN","Unknown item; ","")&amp;IF(AND(ISNUMBER(N169),N169&gt;Discount_Threshold),"Discount above limit; ","")</f>
        <v/>
      </c>
      <c r="R169" s="15" t="str">
        <f aca="false">IF(Q169="","OK","CHECK")</f>
        <v>OK</v>
      </c>
    </row>
    <row r="170" customFormat="false" ht="15" hidden="false" customHeight="false" outlineLevel="0" collapsed="false">
      <c r="A170" s="12" t="s">
        <v>440</v>
      </c>
      <c r="B170" s="30" t="n">
        <v>45902</v>
      </c>
      <c r="C170" s="12" t="s">
        <v>276</v>
      </c>
      <c r="D170" s="12" t="s">
        <v>277</v>
      </c>
      <c r="E170" s="12" t="s">
        <v>70</v>
      </c>
      <c r="F170" s="12" t="s">
        <v>131</v>
      </c>
      <c r="G170" s="23" t="n">
        <v>57</v>
      </c>
      <c r="H170" s="22" t="n">
        <v>122.01</v>
      </c>
      <c r="I170" s="15" t="str">
        <f aca="false">UPPER(TRIM(F170))</f>
        <v>PC-HC-200</v>
      </c>
      <c r="J170" s="15" t="str">
        <f aca="false">IFERROR(INDEX(Items!$C$2:$C$500,MATCH(I170,Items!$H$2:$H$500,0)),"UNKNOWN")</f>
        <v>Slab</v>
      </c>
      <c r="K170" s="24" t="n">
        <f aca="false">IF(J170="UNKNOWN","",INDEX(Items!$F$2:$F$500,MATCH(I170,Items!$H$2:$H$500,0)))</f>
        <v>118</v>
      </c>
      <c r="L170" s="24" t="n">
        <f aca="false">IF(ISNUMBER(H170),G170*H170,"")</f>
        <v>6954.57</v>
      </c>
      <c r="M170" s="28" t="n">
        <f aca="false">IF(ISNUMBER(H170),G170,0)</f>
        <v>57</v>
      </c>
      <c r="N170" s="31" t="n">
        <f aca="false">IF(AND(ISNUMBER(H170),ISNUMBER(K170)),1-H170/K170,"")</f>
        <v>-0.0339830508474577</v>
      </c>
      <c r="O170" s="24" t="n">
        <f aca="false">IF(J170="UNKNOWN","",INDEX(Cost_Rollup!$F$5:$F$16,MATCH(I170,Cost_Rollup!$A$5:$A$16,0)))</f>
        <v>78.89382</v>
      </c>
      <c r="P170" s="24" t="n">
        <f aca="false">IF(AND(ISNUMBER(L170),ISNUMBER(O170)),G170*O170,"")</f>
        <v>4496.94774</v>
      </c>
      <c r="Q170" s="15" t="str">
        <f aca="false">IF(H170="","Missing price; ","")&amp;IF(J170="UNKNOWN","Unknown item; ","")&amp;IF(AND(ISNUMBER(N170),N170&gt;Discount_Threshold),"Discount above limit; ","")</f>
        <v/>
      </c>
      <c r="R170" s="15" t="str">
        <f aca="false">IF(Q170="","OK","CHECK")</f>
        <v>OK</v>
      </c>
    </row>
    <row r="171" customFormat="false" ht="15" hidden="false" customHeight="false" outlineLevel="0" collapsed="false">
      <c r="A171" s="12" t="s">
        <v>441</v>
      </c>
      <c r="B171" s="30" t="n">
        <v>45904</v>
      </c>
      <c r="C171" s="12" t="s">
        <v>292</v>
      </c>
      <c r="D171" s="12" t="s">
        <v>277</v>
      </c>
      <c r="E171" s="12" t="s">
        <v>70</v>
      </c>
      <c r="F171" s="12" t="s">
        <v>129</v>
      </c>
      <c r="G171" s="23" t="n">
        <v>37</v>
      </c>
      <c r="H171" s="22" t="n">
        <v>2421.87</v>
      </c>
      <c r="I171" s="15" t="str">
        <f aca="false">UPPER(TRIM(F171))</f>
        <v>PC-BAR-SS60</v>
      </c>
      <c r="J171" s="15" t="str">
        <f aca="false">IFERROR(INDEX(Items!$C$2:$C$500,MATCH(I171,Items!$H$2:$H$500,0)),"UNKNOWN")</f>
        <v>Barrier</v>
      </c>
      <c r="K171" s="24" t="n">
        <f aca="false">IF(J171="UNKNOWN","",INDEX(Items!$F$2:$F$500,MATCH(I171,Items!$H$2:$H$500,0)))</f>
        <v>2350</v>
      </c>
      <c r="L171" s="24" t="n">
        <f aca="false">IF(ISNUMBER(H171),G171*H171,"")</f>
        <v>89609.19</v>
      </c>
      <c r="M171" s="28" t="n">
        <f aca="false">IF(ISNUMBER(H171),G171,0)</f>
        <v>37</v>
      </c>
      <c r="N171" s="31" t="n">
        <f aca="false">IF(AND(ISNUMBER(H171),ISNUMBER(K171)),1-H171/K171,"")</f>
        <v>-0.0305829787234042</v>
      </c>
      <c r="O171" s="24" t="n">
        <f aca="false">IF(J171="UNKNOWN","",INDEX(Cost_Rollup!$F$5:$F$16,MATCH(I171,Cost_Rollup!$A$5:$A$16,0)))</f>
        <v>1583.5454</v>
      </c>
      <c r="P171" s="24" t="n">
        <f aca="false">IF(AND(ISNUMBER(L171),ISNUMBER(O171)),G171*O171,"")</f>
        <v>58591.1798</v>
      </c>
      <c r="Q171" s="15" t="str">
        <f aca="false">IF(H171="","Missing price; ","")&amp;IF(J171="UNKNOWN","Unknown item; ","")&amp;IF(AND(ISNUMBER(N171),N171&gt;Discount_Threshold),"Discount above limit; ","")</f>
        <v/>
      </c>
      <c r="R171" s="15" t="str">
        <f aca="false">IF(Q171="","OK","CHECK")</f>
        <v>OK</v>
      </c>
    </row>
    <row r="172" customFormat="false" ht="15" hidden="false" customHeight="false" outlineLevel="0" collapsed="false">
      <c r="A172" s="12" t="s">
        <v>442</v>
      </c>
      <c r="B172" s="30" t="n">
        <v>45905</v>
      </c>
      <c r="C172" s="12" t="s">
        <v>292</v>
      </c>
      <c r="D172" s="12" t="s">
        <v>277</v>
      </c>
      <c r="E172" s="12" t="s">
        <v>70</v>
      </c>
      <c r="F172" s="12" t="s">
        <v>131</v>
      </c>
      <c r="G172" s="23" t="n">
        <v>205</v>
      </c>
      <c r="H172" s="22" t="n">
        <v>109.1</v>
      </c>
      <c r="I172" s="15" t="str">
        <f aca="false">UPPER(TRIM(F172))</f>
        <v>PC-HC-200</v>
      </c>
      <c r="J172" s="15" t="str">
        <f aca="false">IFERROR(INDEX(Items!$C$2:$C$500,MATCH(I172,Items!$H$2:$H$500,0)),"UNKNOWN")</f>
        <v>Slab</v>
      </c>
      <c r="K172" s="24" t="n">
        <f aca="false">IF(J172="UNKNOWN","",INDEX(Items!$F$2:$F$500,MATCH(I172,Items!$H$2:$H$500,0)))</f>
        <v>118</v>
      </c>
      <c r="L172" s="24" t="n">
        <f aca="false">IF(ISNUMBER(H172),G172*H172,"")</f>
        <v>22365.5</v>
      </c>
      <c r="M172" s="28" t="n">
        <f aca="false">IF(ISNUMBER(H172),G172,0)</f>
        <v>205</v>
      </c>
      <c r="N172" s="31" t="n">
        <f aca="false">IF(AND(ISNUMBER(H172),ISNUMBER(K172)),1-H172/K172,"")</f>
        <v>0.0754237288135594</v>
      </c>
      <c r="O172" s="24" t="n">
        <f aca="false">IF(J172="UNKNOWN","",INDEX(Cost_Rollup!$F$5:$F$16,MATCH(I172,Cost_Rollup!$A$5:$A$16,0)))</f>
        <v>78.89382</v>
      </c>
      <c r="P172" s="24" t="n">
        <f aca="false">IF(AND(ISNUMBER(L172),ISNUMBER(O172)),G172*O172,"")</f>
        <v>16173.2331</v>
      </c>
      <c r="Q172" s="15" t="str">
        <f aca="false">IF(H172="","Missing price; ","")&amp;IF(J172="UNKNOWN","Unknown item; ","")&amp;IF(AND(ISNUMBER(N172),N172&gt;Discount_Threshold),"Discount above limit; ","")</f>
        <v/>
      </c>
      <c r="R172" s="15" t="str">
        <f aca="false">IF(Q172="","OK","CHECK")</f>
        <v>OK</v>
      </c>
    </row>
    <row r="173" customFormat="false" ht="15" hidden="false" customHeight="false" outlineLevel="0" collapsed="false">
      <c r="A173" s="12" t="s">
        <v>443</v>
      </c>
      <c r="B173" s="30" t="n">
        <v>45906</v>
      </c>
      <c r="C173" s="12" t="s">
        <v>257</v>
      </c>
      <c r="D173" s="12" t="s">
        <v>258</v>
      </c>
      <c r="E173" s="12" t="s">
        <v>70</v>
      </c>
      <c r="F173" s="12" t="s">
        <v>135</v>
      </c>
      <c r="G173" s="23" t="n">
        <v>90</v>
      </c>
      <c r="H173" s="22" t="n">
        <v>141.4</v>
      </c>
      <c r="I173" s="15" t="str">
        <f aca="false">UPPER(TRIM(F173))</f>
        <v>PC-HC-250</v>
      </c>
      <c r="J173" s="15" t="str">
        <f aca="false">IFERROR(INDEX(Items!$C$2:$C$500,MATCH(I173,Items!$H$2:$H$500,0)),"UNKNOWN")</f>
        <v>Slab</v>
      </c>
      <c r="K173" s="24" t="n">
        <f aca="false">IF(J173="UNKNOWN","",INDEX(Items!$F$2:$F$500,MATCH(I173,Items!$H$2:$H$500,0)))</f>
        <v>136</v>
      </c>
      <c r="L173" s="24" t="n">
        <f aca="false">IF(ISNUMBER(H173),G173*H173,"")</f>
        <v>12726</v>
      </c>
      <c r="M173" s="28" t="n">
        <f aca="false">IF(ISNUMBER(H173),G173,0)</f>
        <v>90</v>
      </c>
      <c r="N173" s="31" t="n">
        <f aca="false">IF(AND(ISNUMBER(H173),ISNUMBER(K173)),1-H173/K173,"")</f>
        <v>-0.0397058823529413</v>
      </c>
      <c r="O173" s="24" t="n">
        <f aca="false">IF(J173="UNKNOWN","",INDEX(Cost_Rollup!$F$5:$F$16,MATCH(I173,Cost_Rollup!$A$5:$A$16,0)))</f>
        <v>92.94024</v>
      </c>
      <c r="P173" s="24" t="n">
        <f aca="false">IF(AND(ISNUMBER(L173),ISNUMBER(O173)),G173*O173,"")</f>
        <v>8364.6216</v>
      </c>
      <c r="Q173" s="15" t="str">
        <f aca="false">IF(H173="","Missing price; ","")&amp;IF(J173="UNKNOWN","Unknown item; ","")&amp;IF(AND(ISNUMBER(N173),N173&gt;Discount_Threshold),"Discount above limit; ","")</f>
        <v/>
      </c>
      <c r="R173" s="15" t="str">
        <f aca="false">IF(Q173="","OK","CHECK")</f>
        <v>OK</v>
      </c>
    </row>
    <row r="174" customFormat="false" ht="15" hidden="false" customHeight="false" outlineLevel="0" collapsed="false">
      <c r="A174" s="12" t="s">
        <v>444</v>
      </c>
      <c r="B174" s="30" t="n">
        <v>45907</v>
      </c>
      <c r="C174" s="12" t="s">
        <v>276</v>
      </c>
      <c r="D174" s="12" t="s">
        <v>277</v>
      </c>
      <c r="E174" s="12" t="s">
        <v>70</v>
      </c>
      <c r="F174" s="12" t="s">
        <v>122</v>
      </c>
      <c r="G174" s="23" t="n">
        <v>6</v>
      </c>
      <c r="H174" s="22" t="n">
        <v>702.19</v>
      </c>
      <c r="I174" s="15" t="str">
        <f aca="false">UPPER(TRIM(F174))</f>
        <v>PC-CB-0600</v>
      </c>
      <c r="J174" s="15" t="str">
        <f aca="false">IFERROR(INDEX(Items!$C$2:$C$500,MATCH(I174,Items!$H$2:$H$500,0)),"UNKNOWN")</f>
        <v>Catch Basin</v>
      </c>
      <c r="K174" s="24" t="n">
        <f aca="false">IF(J174="UNKNOWN","",INDEX(Items!$F$2:$F$500,MATCH(I174,Items!$H$2:$H$500,0)))</f>
        <v>690</v>
      </c>
      <c r="L174" s="24" t="n">
        <f aca="false">IF(ISNUMBER(H174),G174*H174,"")</f>
        <v>4213.14</v>
      </c>
      <c r="M174" s="28" t="n">
        <f aca="false">IF(ISNUMBER(H174),G174,0)</f>
        <v>6</v>
      </c>
      <c r="N174" s="31" t="n">
        <f aca="false">IF(AND(ISNUMBER(H174),ISNUMBER(K174)),1-H174/K174,"")</f>
        <v>-0.0176666666666667</v>
      </c>
      <c r="O174" s="24" t="n">
        <f aca="false">IF(J174="UNKNOWN","",INDEX(Cost_Rollup!$F$5:$F$16,MATCH(I174,Cost_Rollup!$A$5:$A$16,0)))</f>
        <v>471.0488</v>
      </c>
      <c r="P174" s="24" t="n">
        <f aca="false">IF(AND(ISNUMBER(L174),ISNUMBER(O174)),G174*O174,"")</f>
        <v>2826.2928</v>
      </c>
      <c r="Q174" s="15" t="str">
        <f aca="false">IF(H174="","Missing price; ","")&amp;IF(J174="UNKNOWN","Unknown item; ","")&amp;IF(AND(ISNUMBER(N174),N174&gt;Discount_Threshold),"Discount above limit; ","")</f>
        <v/>
      </c>
      <c r="R174" s="15" t="str">
        <f aca="false">IF(Q174="","OK","CHECK")</f>
        <v>OK</v>
      </c>
    </row>
    <row r="175" customFormat="false" ht="15" hidden="false" customHeight="false" outlineLevel="0" collapsed="false">
      <c r="A175" s="12" t="s">
        <v>445</v>
      </c>
      <c r="B175" s="30" t="n">
        <v>45907</v>
      </c>
      <c r="C175" s="12" t="s">
        <v>260</v>
      </c>
      <c r="D175" s="12" t="s">
        <v>258</v>
      </c>
      <c r="E175" s="12" t="s">
        <v>70</v>
      </c>
      <c r="F175" s="12" t="s">
        <v>108</v>
      </c>
      <c r="G175" s="23" t="n">
        <v>8</v>
      </c>
      <c r="H175" s="22" t="n">
        <v>1035.64</v>
      </c>
      <c r="I175" s="15" t="str">
        <f aca="false">UPPER(TRIM(F175))</f>
        <v>PC-RCP-0900</v>
      </c>
      <c r="J175" s="15" t="str">
        <f aca="false">IFERROR(INDEX(Items!$C$2:$C$500,MATCH(I175,Items!$H$2:$H$500,0)),"UNKNOWN")</f>
        <v>Pipe</v>
      </c>
      <c r="K175" s="24" t="n">
        <f aca="false">IF(J175="UNKNOWN","",INDEX(Items!$F$2:$F$500,MATCH(I175,Items!$H$2:$H$500,0)))</f>
        <v>1150</v>
      </c>
      <c r="L175" s="24" t="n">
        <f aca="false">IF(ISNUMBER(H175),G175*H175,"")</f>
        <v>8285.12</v>
      </c>
      <c r="M175" s="28" t="n">
        <f aca="false">IF(ISNUMBER(H175),G175,0)</f>
        <v>8</v>
      </c>
      <c r="N175" s="31" t="n">
        <f aca="false">IF(AND(ISNUMBER(H175),ISNUMBER(K175)),1-H175/K175,"")</f>
        <v>0.0994434782608695</v>
      </c>
      <c r="O175" s="24" t="n">
        <f aca="false">IF(J175="UNKNOWN","",INDEX(Cost_Rollup!$F$5:$F$16,MATCH(I175,Cost_Rollup!$A$5:$A$16,0)))</f>
        <v>750.4337265687</v>
      </c>
      <c r="P175" s="24" t="n">
        <f aca="false">IF(AND(ISNUMBER(L175),ISNUMBER(O175)),G175*O175,"")</f>
        <v>6003.4698125496</v>
      </c>
      <c r="Q175" s="15" t="str">
        <f aca="false">IF(H175="","Missing price; ","")&amp;IF(J175="UNKNOWN","Unknown item; ","")&amp;IF(AND(ISNUMBER(N175),N175&gt;Discount_Threshold),"Discount above limit; ","")</f>
        <v/>
      </c>
      <c r="R175" s="15" t="str">
        <f aca="false">IF(Q175="","OK","CHECK")</f>
        <v>OK</v>
      </c>
    </row>
    <row r="176" customFormat="false" ht="15" hidden="false" customHeight="false" outlineLevel="0" collapsed="false">
      <c r="A176" s="12" t="s">
        <v>446</v>
      </c>
      <c r="B176" s="30" t="n">
        <v>45908</v>
      </c>
      <c r="C176" s="12" t="s">
        <v>260</v>
      </c>
      <c r="D176" s="12" t="s">
        <v>258</v>
      </c>
      <c r="E176" s="12" t="s">
        <v>70</v>
      </c>
      <c r="F176" s="12" t="s">
        <v>131</v>
      </c>
      <c r="G176" s="23" t="n">
        <v>176</v>
      </c>
      <c r="H176" s="22" t="n">
        <v>121.12</v>
      </c>
      <c r="I176" s="15" t="str">
        <f aca="false">UPPER(TRIM(F176))</f>
        <v>PC-HC-200</v>
      </c>
      <c r="J176" s="15" t="str">
        <f aca="false">IFERROR(INDEX(Items!$C$2:$C$500,MATCH(I176,Items!$H$2:$H$500,0)),"UNKNOWN")</f>
        <v>Slab</v>
      </c>
      <c r="K176" s="24" t="n">
        <f aca="false">IF(J176="UNKNOWN","",INDEX(Items!$F$2:$F$500,MATCH(I176,Items!$H$2:$H$500,0)))</f>
        <v>118</v>
      </c>
      <c r="L176" s="24" t="n">
        <f aca="false">IF(ISNUMBER(H176),G176*H176,"")</f>
        <v>21317.12</v>
      </c>
      <c r="M176" s="28" t="n">
        <f aca="false">IF(ISNUMBER(H176),G176,0)</f>
        <v>176</v>
      </c>
      <c r="N176" s="31" t="n">
        <f aca="false">IF(AND(ISNUMBER(H176),ISNUMBER(K176)),1-H176/K176,"")</f>
        <v>-0.0264406779661017</v>
      </c>
      <c r="O176" s="24" t="n">
        <f aca="false">IF(J176="UNKNOWN","",INDEX(Cost_Rollup!$F$5:$F$16,MATCH(I176,Cost_Rollup!$A$5:$A$16,0)))</f>
        <v>78.89382</v>
      </c>
      <c r="P176" s="24" t="n">
        <f aca="false">IF(AND(ISNUMBER(L176),ISNUMBER(O176)),G176*O176,"")</f>
        <v>13885.31232</v>
      </c>
      <c r="Q176" s="15" t="str">
        <f aca="false">IF(H176="","Missing price; ","")&amp;IF(J176="UNKNOWN","Unknown item; ","")&amp;IF(AND(ISNUMBER(N176),N176&gt;Discount_Threshold),"Discount above limit; ","")</f>
        <v/>
      </c>
      <c r="R176" s="15" t="str">
        <f aca="false">IF(Q176="","OK","CHECK")</f>
        <v>OK</v>
      </c>
    </row>
    <row r="177" customFormat="false" ht="15" hidden="false" customHeight="false" outlineLevel="0" collapsed="false">
      <c r="A177" s="12" t="s">
        <v>447</v>
      </c>
      <c r="B177" s="30" t="n">
        <v>45910</v>
      </c>
      <c r="C177" s="12" t="s">
        <v>257</v>
      </c>
      <c r="D177" s="12" t="s">
        <v>258</v>
      </c>
      <c r="E177" s="12" t="s">
        <v>70</v>
      </c>
      <c r="F177" s="12" t="s">
        <v>103</v>
      </c>
      <c r="G177" s="23" t="n">
        <v>5</v>
      </c>
      <c r="H177" s="22" t="n">
        <v>643.85</v>
      </c>
      <c r="I177" s="15" t="str">
        <f aca="false">UPPER(TRIM(F177))</f>
        <v>PC-RCP-0600</v>
      </c>
      <c r="J177" s="15" t="str">
        <f aca="false">IFERROR(INDEX(Items!$C$2:$C$500,MATCH(I177,Items!$H$2:$H$500,0)),"UNKNOWN")</f>
        <v>Pipe</v>
      </c>
      <c r="K177" s="24" t="n">
        <f aca="false">IF(J177="UNKNOWN","",INDEX(Items!$F$2:$F$500,MATCH(I177,Items!$H$2:$H$500,0)))</f>
        <v>640</v>
      </c>
      <c r="L177" s="24" t="n">
        <f aca="false">IF(ISNUMBER(H177),G177*H177,"")</f>
        <v>3219.25</v>
      </c>
      <c r="M177" s="28" t="n">
        <f aca="false">IF(ISNUMBER(H177),G177,0)</f>
        <v>5</v>
      </c>
      <c r="N177" s="31" t="n">
        <f aca="false">IF(AND(ISNUMBER(H177),ISNUMBER(K177)),1-H177/K177,"")</f>
        <v>-0.00601562500000008</v>
      </c>
      <c r="O177" s="24" t="n">
        <f aca="false">IF(J177="UNKNOWN","",INDEX(Cost_Rollup!$F$5:$F$16,MATCH(I177,Cost_Rollup!$A$5:$A$16,0)))</f>
        <v>429.94832</v>
      </c>
      <c r="P177" s="24" t="n">
        <f aca="false">IF(AND(ISNUMBER(L177),ISNUMBER(O177)),G177*O177,"")</f>
        <v>2149.7416</v>
      </c>
      <c r="Q177" s="15" t="str">
        <f aca="false">IF(H177="","Missing price; ","")&amp;IF(J177="UNKNOWN","Unknown item; ","")&amp;IF(AND(ISNUMBER(N177),N177&gt;Discount_Threshold),"Discount above limit; ","")</f>
        <v/>
      </c>
      <c r="R177" s="15" t="str">
        <f aca="false">IF(Q177="","OK","CHECK")</f>
        <v>OK</v>
      </c>
    </row>
    <row r="178" customFormat="false" ht="15" hidden="false" customHeight="false" outlineLevel="0" collapsed="false">
      <c r="A178" s="12" t="s">
        <v>448</v>
      </c>
      <c r="B178" s="30" t="n">
        <v>45912</v>
      </c>
      <c r="C178" s="12" t="s">
        <v>292</v>
      </c>
      <c r="D178" s="12" t="s">
        <v>277</v>
      </c>
      <c r="E178" s="12" t="s">
        <v>70</v>
      </c>
      <c r="F178" s="12" t="s">
        <v>108</v>
      </c>
      <c r="G178" s="23" t="n">
        <v>29</v>
      </c>
      <c r="H178" s="22" t="n">
        <v>1058.18</v>
      </c>
      <c r="I178" s="15" t="str">
        <f aca="false">UPPER(TRIM(F178))</f>
        <v>PC-RCP-0900</v>
      </c>
      <c r="J178" s="15" t="str">
        <f aca="false">IFERROR(INDEX(Items!$C$2:$C$500,MATCH(I178,Items!$H$2:$H$500,0)),"UNKNOWN")</f>
        <v>Pipe</v>
      </c>
      <c r="K178" s="24" t="n">
        <f aca="false">IF(J178="UNKNOWN","",INDEX(Items!$F$2:$F$500,MATCH(I178,Items!$H$2:$H$500,0)))</f>
        <v>1150</v>
      </c>
      <c r="L178" s="24" t="n">
        <f aca="false">IF(ISNUMBER(H178),G178*H178,"")</f>
        <v>30687.22</v>
      </c>
      <c r="M178" s="28" t="n">
        <f aca="false">IF(ISNUMBER(H178),G178,0)</f>
        <v>29</v>
      </c>
      <c r="N178" s="31" t="n">
        <f aca="false">IF(AND(ISNUMBER(H178),ISNUMBER(K178)),1-H178/K178,"")</f>
        <v>0.0798434782608695</v>
      </c>
      <c r="O178" s="24" t="n">
        <f aca="false">IF(J178="UNKNOWN","",INDEX(Cost_Rollup!$F$5:$F$16,MATCH(I178,Cost_Rollup!$A$5:$A$16,0)))</f>
        <v>750.4337265687</v>
      </c>
      <c r="P178" s="24" t="n">
        <f aca="false">IF(AND(ISNUMBER(L178),ISNUMBER(O178)),G178*O178,"")</f>
        <v>21762.5780704923</v>
      </c>
      <c r="Q178" s="15" t="str">
        <f aca="false">IF(H178="","Missing price; ","")&amp;IF(J178="UNKNOWN","Unknown item; ","")&amp;IF(AND(ISNUMBER(N178),N178&gt;Discount_Threshold),"Discount above limit; ","")</f>
        <v/>
      </c>
      <c r="R178" s="15" t="str">
        <f aca="false">IF(Q178="","OK","CHECK")</f>
        <v>OK</v>
      </c>
    </row>
    <row r="179" customFormat="false" ht="15" hidden="false" customHeight="false" outlineLevel="0" collapsed="false">
      <c r="A179" s="12" t="s">
        <v>449</v>
      </c>
      <c r="B179" s="30" t="n">
        <v>45916</v>
      </c>
      <c r="C179" s="12" t="s">
        <v>268</v>
      </c>
      <c r="D179" s="12" t="s">
        <v>269</v>
      </c>
      <c r="E179" s="12" t="s">
        <v>70</v>
      </c>
      <c r="F179" s="12" t="s">
        <v>115</v>
      </c>
      <c r="G179" s="23" t="n">
        <v>4</v>
      </c>
      <c r="H179" s="22" t="n">
        <v>905.1</v>
      </c>
      <c r="I179" s="15" t="str">
        <f aca="false">UPPER(TRIM(F179))</f>
        <v>PC-MH-1050B</v>
      </c>
      <c r="J179" s="15" t="str">
        <f aca="false">IFERROR(INDEX(Items!$C$2:$C$500,MATCH(I179,Items!$H$2:$H$500,0)),"UNKNOWN")</f>
        <v>Manhole</v>
      </c>
      <c r="K179" s="24" t="n">
        <f aca="false">IF(J179="UNKNOWN","",INDEX(Items!$F$2:$F$500,MATCH(I179,Items!$H$2:$H$500,0)))</f>
        <v>980</v>
      </c>
      <c r="L179" s="24" t="n">
        <f aca="false">IF(ISNUMBER(H179),G179*H179,"")</f>
        <v>3620.4</v>
      </c>
      <c r="M179" s="28" t="n">
        <f aca="false">IF(ISNUMBER(H179),G179,0)</f>
        <v>4</v>
      </c>
      <c r="N179" s="31" t="n">
        <f aca="false">IF(AND(ISNUMBER(H179),ISNUMBER(K179)),1-H179/K179,"")</f>
        <v>0.0764285714285714</v>
      </c>
      <c r="O179" s="24" t="n">
        <f aca="false">IF(J179="UNKNOWN","",INDEX(Cost_Rollup!$F$5:$F$16,MATCH(I179,Cost_Rollup!$A$5:$A$16,0)))</f>
        <v>635.433</v>
      </c>
      <c r="P179" s="24" t="n">
        <f aca="false">IF(AND(ISNUMBER(L179),ISNUMBER(O179)),G179*O179,"")</f>
        <v>2541.732</v>
      </c>
      <c r="Q179" s="15" t="str">
        <f aca="false">IF(H179="","Missing price; ","")&amp;IF(J179="UNKNOWN","Unknown item; ","")&amp;IF(AND(ISNUMBER(N179),N179&gt;Discount_Threshold),"Discount above limit; ","")</f>
        <v/>
      </c>
      <c r="R179" s="15" t="str">
        <f aca="false">IF(Q179="","OK","CHECK")</f>
        <v>OK</v>
      </c>
    </row>
    <row r="180" customFormat="false" ht="15" hidden="false" customHeight="false" outlineLevel="0" collapsed="false">
      <c r="A180" s="12" t="s">
        <v>450</v>
      </c>
      <c r="B180" s="30" t="n">
        <v>45917</v>
      </c>
      <c r="C180" s="12" t="s">
        <v>273</v>
      </c>
      <c r="D180" s="12" t="s">
        <v>274</v>
      </c>
      <c r="E180" s="12" t="s">
        <v>147</v>
      </c>
      <c r="F180" s="12" t="s">
        <v>125</v>
      </c>
      <c r="G180" s="23" t="n">
        <v>7</v>
      </c>
      <c r="H180" s="22" t="n">
        <v>1473.77</v>
      </c>
      <c r="I180" s="15" t="str">
        <f aca="false">UPPER(TRIM(F180))</f>
        <v>PC-BAR-F38</v>
      </c>
      <c r="J180" s="15" t="str">
        <f aca="false">IFERROR(INDEX(Items!$C$2:$C$500,MATCH(I180,Items!$H$2:$H$500,0)),"UNKNOWN")</f>
        <v>Barrier</v>
      </c>
      <c r="K180" s="24" t="n">
        <f aca="false">IF(J180="UNKNOWN","",INDEX(Items!$F$2:$F$500,MATCH(I180,Items!$H$2:$H$500,0)))</f>
        <v>1450</v>
      </c>
      <c r="L180" s="24" t="n">
        <f aca="false">IF(ISNUMBER(H180),G180*H180,"")</f>
        <v>10316.39</v>
      </c>
      <c r="M180" s="28" t="n">
        <f aca="false">IF(ISNUMBER(H180),G180,0)</f>
        <v>7</v>
      </c>
      <c r="N180" s="31" t="n">
        <f aca="false">IF(AND(ISNUMBER(H180),ISNUMBER(K180)),1-H180/K180,"")</f>
        <v>-0.0163931034482758</v>
      </c>
      <c r="O180" s="24" t="n">
        <f aca="false">IF(J180="UNKNOWN","",INDEX(Cost_Rollup!$F$5:$F$16,MATCH(I180,Cost_Rollup!$A$5:$A$16,0)))</f>
        <v>978.66328</v>
      </c>
      <c r="P180" s="24" t="n">
        <f aca="false">IF(AND(ISNUMBER(L180),ISNUMBER(O180)),G180*O180,"")</f>
        <v>6850.64296</v>
      </c>
      <c r="Q180" s="15" t="str">
        <f aca="false">IF(H180="","Missing price; ","")&amp;IF(J180="UNKNOWN","Unknown item; ","")&amp;IF(AND(ISNUMBER(N180),N180&gt;Discount_Threshold),"Discount above limit; ","")</f>
        <v/>
      </c>
      <c r="R180" s="15" t="str">
        <f aca="false">IF(Q180="","OK","CHECK")</f>
        <v>OK</v>
      </c>
    </row>
    <row r="181" customFormat="false" ht="15" hidden="false" customHeight="false" outlineLevel="0" collapsed="false">
      <c r="A181" s="12" t="s">
        <v>451</v>
      </c>
      <c r="B181" s="30" t="n">
        <v>45917</v>
      </c>
      <c r="C181" s="12" t="s">
        <v>279</v>
      </c>
      <c r="D181" s="12" t="s">
        <v>280</v>
      </c>
      <c r="E181" s="12" t="s">
        <v>147</v>
      </c>
      <c r="F181" s="12" t="s">
        <v>129</v>
      </c>
      <c r="G181" s="23" t="n">
        <v>15</v>
      </c>
      <c r="H181" s="22" t="n">
        <v>2165.63</v>
      </c>
      <c r="I181" s="15" t="str">
        <f aca="false">UPPER(TRIM(F181))</f>
        <v>PC-BAR-SS60</v>
      </c>
      <c r="J181" s="15" t="str">
        <f aca="false">IFERROR(INDEX(Items!$C$2:$C$500,MATCH(I181,Items!$H$2:$H$500,0)),"UNKNOWN")</f>
        <v>Barrier</v>
      </c>
      <c r="K181" s="24" t="n">
        <f aca="false">IF(J181="UNKNOWN","",INDEX(Items!$F$2:$F$500,MATCH(I181,Items!$H$2:$H$500,0)))</f>
        <v>2350</v>
      </c>
      <c r="L181" s="24" t="n">
        <f aca="false">IF(ISNUMBER(H181),G181*H181,"")</f>
        <v>32484.45</v>
      </c>
      <c r="M181" s="28" t="n">
        <f aca="false">IF(ISNUMBER(H181),G181,0)</f>
        <v>15</v>
      </c>
      <c r="N181" s="31" t="n">
        <f aca="false">IF(AND(ISNUMBER(H181),ISNUMBER(K181)),1-H181/K181,"")</f>
        <v>0.0784553191489361</v>
      </c>
      <c r="O181" s="24" t="n">
        <f aca="false">IF(J181="UNKNOWN","",INDEX(Cost_Rollup!$F$5:$F$16,MATCH(I181,Cost_Rollup!$A$5:$A$16,0)))</f>
        <v>1583.5454</v>
      </c>
      <c r="P181" s="24" t="n">
        <f aca="false">IF(AND(ISNUMBER(L181),ISNUMBER(O181)),G181*O181,"")</f>
        <v>23753.181</v>
      </c>
      <c r="Q181" s="15" t="str">
        <f aca="false">IF(H181="","Missing price; ","")&amp;IF(J181="UNKNOWN","Unknown item; ","")&amp;IF(AND(ISNUMBER(N181),N181&gt;Discount_Threshold),"Discount above limit; ","")</f>
        <v/>
      </c>
      <c r="R181" s="15" t="str">
        <f aca="false">IF(Q181="","OK","CHECK")</f>
        <v>OK</v>
      </c>
    </row>
    <row r="182" customFormat="false" ht="15" hidden="false" customHeight="false" outlineLevel="0" collapsed="false">
      <c r="A182" s="12" t="s">
        <v>452</v>
      </c>
      <c r="B182" s="30" t="n">
        <v>45924</v>
      </c>
      <c r="C182" s="12" t="s">
        <v>268</v>
      </c>
      <c r="D182" s="12" t="s">
        <v>269</v>
      </c>
      <c r="E182" s="12" t="s">
        <v>70</v>
      </c>
      <c r="F182" s="12" t="s">
        <v>131</v>
      </c>
      <c r="G182" s="23" t="n">
        <v>354</v>
      </c>
      <c r="H182" s="22" t="n">
        <v>114.56</v>
      </c>
      <c r="I182" s="15" t="str">
        <f aca="false">UPPER(TRIM(F182))</f>
        <v>PC-HC-200</v>
      </c>
      <c r="J182" s="15" t="str">
        <f aca="false">IFERROR(INDEX(Items!$C$2:$C$500,MATCH(I182,Items!$H$2:$H$500,0)),"UNKNOWN")</f>
        <v>Slab</v>
      </c>
      <c r="K182" s="24" t="n">
        <f aca="false">IF(J182="UNKNOWN","",INDEX(Items!$F$2:$F$500,MATCH(I182,Items!$H$2:$H$500,0)))</f>
        <v>118</v>
      </c>
      <c r="L182" s="24" t="n">
        <f aca="false">IF(ISNUMBER(H182),G182*H182,"")</f>
        <v>40554.24</v>
      </c>
      <c r="M182" s="28" t="n">
        <f aca="false">IF(ISNUMBER(H182),G182,0)</f>
        <v>354</v>
      </c>
      <c r="N182" s="31" t="n">
        <f aca="false">IF(AND(ISNUMBER(H182),ISNUMBER(K182)),1-H182/K182,"")</f>
        <v>0.0291525423728813</v>
      </c>
      <c r="O182" s="24" t="n">
        <f aca="false">IF(J182="UNKNOWN","",INDEX(Cost_Rollup!$F$5:$F$16,MATCH(I182,Cost_Rollup!$A$5:$A$16,0)))</f>
        <v>78.89382</v>
      </c>
      <c r="P182" s="24" t="n">
        <f aca="false">IF(AND(ISNUMBER(L182),ISNUMBER(O182)),G182*O182,"")</f>
        <v>27928.41228</v>
      </c>
      <c r="Q182" s="15" t="str">
        <f aca="false">IF(H182="","Missing price; ","")&amp;IF(J182="UNKNOWN","Unknown item; ","")&amp;IF(AND(ISNUMBER(N182),N182&gt;Discount_Threshold),"Discount above limit; ","")</f>
        <v/>
      </c>
      <c r="R182" s="15" t="str">
        <f aca="false">IF(Q182="","OK","CHECK")</f>
        <v>OK</v>
      </c>
    </row>
    <row r="183" customFormat="false" ht="15" hidden="false" customHeight="false" outlineLevel="0" collapsed="false">
      <c r="A183" s="12" t="s">
        <v>453</v>
      </c>
      <c r="B183" s="30" t="n">
        <v>45925</v>
      </c>
      <c r="C183" s="12" t="s">
        <v>260</v>
      </c>
      <c r="D183" s="12" t="s">
        <v>258</v>
      </c>
      <c r="E183" s="12" t="s">
        <v>70</v>
      </c>
      <c r="F183" s="12" t="s">
        <v>135</v>
      </c>
      <c r="G183" s="23" t="n">
        <v>214</v>
      </c>
      <c r="H183" s="22" t="n">
        <v>124.11</v>
      </c>
      <c r="I183" s="15" t="str">
        <f aca="false">UPPER(TRIM(F183))</f>
        <v>PC-HC-250</v>
      </c>
      <c r="J183" s="15" t="str">
        <f aca="false">IFERROR(INDEX(Items!$C$2:$C$500,MATCH(I183,Items!$H$2:$H$500,0)),"UNKNOWN")</f>
        <v>Slab</v>
      </c>
      <c r="K183" s="24" t="n">
        <f aca="false">IF(J183="UNKNOWN","",INDEX(Items!$F$2:$F$500,MATCH(I183,Items!$H$2:$H$500,0)))</f>
        <v>136</v>
      </c>
      <c r="L183" s="24" t="n">
        <f aca="false">IF(ISNUMBER(H183),G183*H183,"")</f>
        <v>26559.54</v>
      </c>
      <c r="M183" s="28" t="n">
        <f aca="false">IF(ISNUMBER(H183),G183,0)</f>
        <v>214</v>
      </c>
      <c r="N183" s="31" t="n">
        <f aca="false">IF(AND(ISNUMBER(H183),ISNUMBER(K183)),1-H183/K183,"")</f>
        <v>0.0874264705882353</v>
      </c>
      <c r="O183" s="24" t="n">
        <f aca="false">IF(J183="UNKNOWN","",INDEX(Cost_Rollup!$F$5:$F$16,MATCH(I183,Cost_Rollup!$A$5:$A$16,0)))</f>
        <v>92.94024</v>
      </c>
      <c r="P183" s="24" t="n">
        <f aca="false">IF(AND(ISNUMBER(L183),ISNUMBER(O183)),G183*O183,"")</f>
        <v>19889.21136</v>
      </c>
      <c r="Q183" s="15" t="str">
        <f aca="false">IF(H183="","Missing price; ","")&amp;IF(J183="UNKNOWN","Unknown item; ","")&amp;IF(AND(ISNUMBER(N183),N183&gt;Discount_Threshold),"Discount above limit; ","")</f>
        <v/>
      </c>
      <c r="R183" s="15" t="str">
        <f aca="false">IF(Q183="","OK","CHECK")</f>
        <v>OK</v>
      </c>
    </row>
    <row r="184" customFormat="false" ht="15" hidden="false" customHeight="false" outlineLevel="0" collapsed="false">
      <c r="A184" s="12" t="s">
        <v>454</v>
      </c>
      <c r="B184" s="30" t="n">
        <v>45925</v>
      </c>
      <c r="C184" s="12" t="s">
        <v>265</v>
      </c>
      <c r="D184" s="12" t="s">
        <v>266</v>
      </c>
      <c r="E184" s="12" t="s">
        <v>70</v>
      </c>
      <c r="F184" s="12" t="s">
        <v>122</v>
      </c>
      <c r="G184" s="23" t="n">
        <v>12</v>
      </c>
      <c r="H184" s="22" t="n">
        <v>685.05</v>
      </c>
      <c r="I184" s="15" t="str">
        <f aca="false">UPPER(TRIM(F184))</f>
        <v>PC-CB-0600</v>
      </c>
      <c r="J184" s="15" t="str">
        <f aca="false">IFERROR(INDEX(Items!$C$2:$C$500,MATCH(I184,Items!$H$2:$H$500,0)),"UNKNOWN")</f>
        <v>Catch Basin</v>
      </c>
      <c r="K184" s="24" t="n">
        <f aca="false">IF(J184="UNKNOWN","",INDEX(Items!$F$2:$F$500,MATCH(I184,Items!$H$2:$H$500,0)))</f>
        <v>690</v>
      </c>
      <c r="L184" s="24" t="n">
        <f aca="false">IF(ISNUMBER(H184),G184*H184,"")</f>
        <v>8220.6</v>
      </c>
      <c r="M184" s="28" t="n">
        <f aca="false">IF(ISNUMBER(H184),G184,0)</f>
        <v>12</v>
      </c>
      <c r="N184" s="31" t="n">
        <f aca="false">IF(AND(ISNUMBER(H184),ISNUMBER(K184)),1-H184/K184,"")</f>
        <v>0.00717391304347836</v>
      </c>
      <c r="O184" s="24" t="n">
        <f aca="false">IF(J184="UNKNOWN","",INDEX(Cost_Rollup!$F$5:$F$16,MATCH(I184,Cost_Rollup!$A$5:$A$16,0)))</f>
        <v>471.0488</v>
      </c>
      <c r="P184" s="24" t="n">
        <f aca="false">IF(AND(ISNUMBER(L184),ISNUMBER(O184)),G184*O184,"")</f>
        <v>5652.5856</v>
      </c>
      <c r="Q184" s="15" t="str">
        <f aca="false">IF(H184="","Missing price; ","")&amp;IF(J184="UNKNOWN","Unknown item; ","")&amp;IF(AND(ISNUMBER(N184),N184&gt;Discount_Threshold),"Discount above limit; ","")</f>
        <v/>
      </c>
      <c r="R184" s="15" t="str">
        <f aca="false">IF(Q184="","OK","CHECK")</f>
        <v>OK</v>
      </c>
    </row>
    <row r="185" customFormat="false" ht="15" hidden="false" customHeight="false" outlineLevel="0" collapsed="false">
      <c r="A185" s="12" t="s">
        <v>455</v>
      </c>
      <c r="B185" s="30" t="n">
        <v>45926</v>
      </c>
      <c r="C185" s="12" t="s">
        <v>268</v>
      </c>
      <c r="D185" s="12" t="s">
        <v>269</v>
      </c>
      <c r="E185" s="12" t="s">
        <v>70</v>
      </c>
      <c r="F185" s="12" t="s">
        <v>122</v>
      </c>
      <c r="G185" s="23" t="n">
        <v>4</v>
      </c>
      <c r="H185" s="22" t="n">
        <v>714.44</v>
      </c>
      <c r="I185" s="15" t="str">
        <f aca="false">UPPER(TRIM(F185))</f>
        <v>PC-CB-0600</v>
      </c>
      <c r="J185" s="15" t="str">
        <f aca="false">IFERROR(INDEX(Items!$C$2:$C$500,MATCH(I185,Items!$H$2:$H$500,0)),"UNKNOWN")</f>
        <v>Catch Basin</v>
      </c>
      <c r="K185" s="24" t="n">
        <f aca="false">IF(J185="UNKNOWN","",INDEX(Items!$F$2:$F$500,MATCH(I185,Items!$H$2:$H$500,0)))</f>
        <v>690</v>
      </c>
      <c r="L185" s="24" t="n">
        <f aca="false">IF(ISNUMBER(H185),G185*H185,"")</f>
        <v>2857.76</v>
      </c>
      <c r="M185" s="28" t="n">
        <f aca="false">IF(ISNUMBER(H185),G185,0)</f>
        <v>4</v>
      </c>
      <c r="N185" s="31" t="n">
        <f aca="false">IF(AND(ISNUMBER(H185),ISNUMBER(K185)),1-H185/K185,"")</f>
        <v>-0.0354202898550726</v>
      </c>
      <c r="O185" s="24" t="n">
        <f aca="false">IF(J185="UNKNOWN","",INDEX(Cost_Rollup!$F$5:$F$16,MATCH(I185,Cost_Rollup!$A$5:$A$16,0)))</f>
        <v>471.0488</v>
      </c>
      <c r="P185" s="24" t="n">
        <f aca="false">IF(AND(ISNUMBER(L185),ISNUMBER(O185)),G185*O185,"")</f>
        <v>1884.1952</v>
      </c>
      <c r="Q185" s="15" t="str">
        <f aca="false">IF(H185="","Missing price; ","")&amp;IF(J185="UNKNOWN","Unknown item; ","")&amp;IF(AND(ISNUMBER(N185),N185&gt;Discount_Threshold),"Discount above limit; ","")</f>
        <v/>
      </c>
      <c r="R185" s="15" t="str">
        <f aca="false">IF(Q185="","OK","CHECK")</f>
        <v>OK</v>
      </c>
    </row>
    <row r="186" customFormat="false" ht="15" hidden="false" customHeight="false" outlineLevel="0" collapsed="false">
      <c r="A186" s="12" t="s">
        <v>456</v>
      </c>
      <c r="B186" s="30" t="n">
        <v>45926</v>
      </c>
      <c r="C186" s="12" t="s">
        <v>268</v>
      </c>
      <c r="D186" s="12" t="s">
        <v>269</v>
      </c>
      <c r="E186" s="12" t="s">
        <v>70</v>
      </c>
      <c r="F186" s="12" t="s">
        <v>118</v>
      </c>
      <c r="G186" s="23" t="n">
        <v>6</v>
      </c>
      <c r="H186" s="22" t="n">
        <v>1125.77</v>
      </c>
      <c r="I186" s="15" t="str">
        <f aca="false">UPPER(TRIM(F186))</f>
        <v>PC-MH-1200B</v>
      </c>
      <c r="J186" s="15" t="str">
        <f aca="false">IFERROR(INDEX(Items!$C$2:$C$500,MATCH(I186,Items!$H$2:$H$500,0)),"UNKNOWN")</f>
        <v>Manhole</v>
      </c>
      <c r="K186" s="24" t="n">
        <f aca="false">IF(J186="UNKNOWN","",INDEX(Items!$F$2:$F$500,MATCH(I186,Items!$H$2:$H$500,0)))</f>
        <v>1240</v>
      </c>
      <c r="L186" s="24" t="n">
        <f aca="false">IF(ISNUMBER(H186),G186*H186,"")</f>
        <v>6754.62</v>
      </c>
      <c r="M186" s="28" t="n">
        <f aca="false">IF(ISNUMBER(H186),G186,0)</f>
        <v>6</v>
      </c>
      <c r="N186" s="31" t="n">
        <f aca="false">IF(AND(ISNUMBER(H186),ISNUMBER(K186)),1-H186/K186,"")</f>
        <v>0.0921209677419355</v>
      </c>
      <c r="O186" s="24" t="n">
        <f aca="false">IF(J186="UNKNOWN","",INDEX(Cost_Rollup!$F$5:$F$16,MATCH(I186,Cost_Rollup!$A$5:$A$16,0)))</f>
        <v>753.4208</v>
      </c>
      <c r="P186" s="24" t="n">
        <f aca="false">IF(AND(ISNUMBER(L186),ISNUMBER(O186)),G186*O186,"")</f>
        <v>4520.5248</v>
      </c>
      <c r="Q186" s="15" t="str">
        <f aca="false">IF(H186="","Missing price; ","")&amp;IF(J186="UNKNOWN","Unknown item; ","")&amp;IF(AND(ISNUMBER(N186),N186&gt;Discount_Threshold),"Discount above limit; ","")</f>
        <v/>
      </c>
      <c r="R186" s="15" t="str">
        <f aca="false">IF(Q186="","OK","CHECK")</f>
        <v>OK</v>
      </c>
    </row>
    <row r="187" customFormat="false" ht="15" hidden="false" customHeight="false" outlineLevel="0" collapsed="false">
      <c r="A187" s="12" t="s">
        <v>457</v>
      </c>
      <c r="B187" s="30" t="n">
        <v>45926</v>
      </c>
      <c r="C187" s="12" t="s">
        <v>257</v>
      </c>
      <c r="D187" s="12" t="s">
        <v>258</v>
      </c>
      <c r="E187" s="12" t="s">
        <v>70</v>
      </c>
      <c r="F187" s="12" t="s">
        <v>125</v>
      </c>
      <c r="G187" s="23" t="n">
        <v>10</v>
      </c>
      <c r="H187" s="22" t="n">
        <v>1399.52</v>
      </c>
      <c r="I187" s="15" t="str">
        <f aca="false">UPPER(TRIM(F187))</f>
        <v>PC-BAR-F38</v>
      </c>
      <c r="J187" s="15" t="str">
        <f aca="false">IFERROR(INDEX(Items!$C$2:$C$500,MATCH(I187,Items!$H$2:$H$500,0)),"UNKNOWN")</f>
        <v>Barrier</v>
      </c>
      <c r="K187" s="24" t="n">
        <f aca="false">IF(J187="UNKNOWN","",INDEX(Items!$F$2:$F$500,MATCH(I187,Items!$H$2:$H$500,0)))</f>
        <v>1450</v>
      </c>
      <c r="L187" s="24" t="n">
        <f aca="false">IF(ISNUMBER(H187),G187*H187,"")</f>
        <v>13995.2</v>
      </c>
      <c r="M187" s="28" t="n">
        <f aca="false">IF(ISNUMBER(H187),G187,0)</f>
        <v>10</v>
      </c>
      <c r="N187" s="31" t="n">
        <f aca="false">IF(AND(ISNUMBER(H187),ISNUMBER(K187)),1-H187/K187,"")</f>
        <v>0.0348137931034483</v>
      </c>
      <c r="O187" s="24" t="n">
        <f aca="false">IF(J187="UNKNOWN","",INDEX(Cost_Rollup!$F$5:$F$16,MATCH(I187,Cost_Rollup!$A$5:$A$16,0)))</f>
        <v>978.66328</v>
      </c>
      <c r="P187" s="24" t="n">
        <f aca="false">IF(AND(ISNUMBER(L187),ISNUMBER(O187)),G187*O187,"")</f>
        <v>9786.6328</v>
      </c>
      <c r="Q187" s="15" t="str">
        <f aca="false">IF(H187="","Missing price; ","")&amp;IF(J187="UNKNOWN","Unknown item; ","")&amp;IF(AND(ISNUMBER(N187),N187&gt;Discount_Threshold),"Discount above limit; ","")</f>
        <v/>
      </c>
      <c r="R187" s="15" t="str">
        <f aca="false">IF(Q187="","OK","CHECK")</f>
        <v>OK</v>
      </c>
    </row>
    <row r="188" customFormat="false" ht="15" hidden="false" customHeight="false" outlineLevel="0" collapsed="false">
      <c r="A188" s="12" t="s">
        <v>458</v>
      </c>
      <c r="B188" s="30" t="n">
        <v>45927</v>
      </c>
      <c r="C188" s="12" t="s">
        <v>292</v>
      </c>
      <c r="D188" s="12" t="s">
        <v>277</v>
      </c>
      <c r="E188" s="12" t="s">
        <v>70</v>
      </c>
      <c r="F188" s="12" t="s">
        <v>110</v>
      </c>
      <c r="G188" s="23" t="n">
        <v>25</v>
      </c>
      <c r="H188" s="22" t="n">
        <v>1171.8</v>
      </c>
      <c r="I188" s="15" t="str">
        <f aca="false">UPPER(TRIM(F188))</f>
        <v>PC-RCP-1200</v>
      </c>
      <c r="J188" s="15" t="str">
        <f aca="false">IFERROR(INDEX(Items!$C$2:$C$500,MATCH(I188,Items!$H$2:$H$500,0)),"UNKNOWN")</f>
        <v>Pipe</v>
      </c>
      <c r="K188" s="24" t="n">
        <f aca="false">IF(J188="UNKNOWN","",INDEX(Items!$F$2:$F$500,MATCH(I188,Items!$H$2:$H$500,0)))</f>
        <v>1890</v>
      </c>
      <c r="L188" s="24" t="n">
        <f aca="false">IF(ISNUMBER(H188),G188*H188,"")</f>
        <v>29295</v>
      </c>
      <c r="M188" s="28" t="n">
        <f aca="false">IF(ISNUMBER(H188),G188,0)</f>
        <v>25</v>
      </c>
      <c r="N188" s="31" t="n">
        <f aca="false">IF(AND(ISNUMBER(H188),ISNUMBER(K188)),1-H188/K188,"")</f>
        <v>0.38</v>
      </c>
      <c r="O188" s="24" t="n">
        <f aca="false">IF(J188="UNKNOWN","",INDEX(Cost_Rollup!$F$5:$F$16,MATCH(I188,Cost_Rollup!$A$5:$A$16,0)))</f>
        <v>1206.4054</v>
      </c>
      <c r="P188" s="24" t="n">
        <f aca="false">IF(AND(ISNUMBER(L188),ISNUMBER(O188)),G188*O188,"")</f>
        <v>30160.135</v>
      </c>
      <c r="Q188" s="15" t="str">
        <f aca="false">IF(H188="","Missing price; ","")&amp;IF(J188="UNKNOWN","Unknown item; ","")&amp;IF(AND(ISNUMBER(N188),N188&gt;Discount_Threshold),"Discount above limit; ","")</f>
        <v>Discount above limit; </v>
      </c>
      <c r="R188" s="15" t="str">
        <f aca="false">IF(Q188="","OK","CHECK")</f>
        <v>CHECK</v>
      </c>
    </row>
    <row r="189" customFormat="false" ht="15" hidden="false" customHeight="false" outlineLevel="0" collapsed="false">
      <c r="A189" s="12" t="s">
        <v>459</v>
      </c>
      <c r="B189" s="30" t="n">
        <v>45929</v>
      </c>
      <c r="C189" s="12" t="s">
        <v>265</v>
      </c>
      <c r="D189" s="12" t="s">
        <v>266</v>
      </c>
      <c r="E189" s="12" t="s">
        <v>70</v>
      </c>
      <c r="F189" s="12" t="s">
        <v>120</v>
      </c>
      <c r="G189" s="23" t="n">
        <v>6</v>
      </c>
      <c r="H189" s="22" t="n">
        <v>501.4</v>
      </c>
      <c r="I189" s="15" t="str">
        <f aca="false">UPPER(TRIM(F189))</f>
        <v>PC-MH-1200R</v>
      </c>
      <c r="J189" s="15" t="str">
        <f aca="false">IFERROR(INDEX(Items!$C$2:$C$500,MATCH(I189,Items!$H$2:$H$500,0)),"UNKNOWN")</f>
        <v>Manhole</v>
      </c>
      <c r="K189" s="24" t="n">
        <f aca="false">IF(J189="UNKNOWN","",INDEX(Items!$F$2:$F$500,MATCH(I189,Items!$H$2:$H$500,0)))</f>
        <v>520</v>
      </c>
      <c r="L189" s="24" t="n">
        <f aca="false">IF(ISNUMBER(H189),G189*H189,"")</f>
        <v>3008.4</v>
      </c>
      <c r="M189" s="28" t="n">
        <f aca="false">IF(ISNUMBER(H189),G189,0)</f>
        <v>6</v>
      </c>
      <c r="N189" s="31" t="n">
        <f aca="false">IF(AND(ISNUMBER(H189),ISNUMBER(K189)),1-H189/K189,"")</f>
        <v>0.0357692307692308</v>
      </c>
      <c r="O189" s="24" t="n">
        <f aca="false">IF(J189="UNKNOWN","",INDEX(Cost_Rollup!$F$5:$F$16,MATCH(I189,Cost_Rollup!$A$5:$A$16,0)))</f>
        <v>381.98428</v>
      </c>
      <c r="P189" s="24" t="n">
        <f aca="false">IF(AND(ISNUMBER(L189),ISNUMBER(O189)),G189*O189,"")</f>
        <v>2291.90568</v>
      </c>
      <c r="Q189" s="15" t="str">
        <f aca="false">IF(H189="","Missing price; ","")&amp;IF(J189="UNKNOWN","Unknown item; ","")&amp;IF(AND(ISNUMBER(N189),N189&gt;Discount_Threshold),"Discount above limit; ","")</f>
        <v/>
      </c>
      <c r="R189" s="15" t="str">
        <f aca="false">IF(Q189="","OK","CHECK")</f>
        <v>OK</v>
      </c>
    </row>
    <row r="190" customFormat="false" ht="15" hidden="false" customHeight="false" outlineLevel="0" collapsed="false">
      <c r="A190" s="12" t="s">
        <v>460</v>
      </c>
      <c r="B190" s="30" t="n">
        <v>45929</v>
      </c>
      <c r="C190" s="12" t="s">
        <v>292</v>
      </c>
      <c r="D190" s="12" t="s">
        <v>277</v>
      </c>
      <c r="E190" s="12" t="s">
        <v>70</v>
      </c>
      <c r="F190" s="12" t="s">
        <v>125</v>
      </c>
      <c r="G190" s="23" t="n">
        <v>12</v>
      </c>
      <c r="H190" s="22" t="n">
        <v>1419.24</v>
      </c>
      <c r="I190" s="15" t="str">
        <f aca="false">UPPER(TRIM(F190))</f>
        <v>PC-BAR-F38</v>
      </c>
      <c r="J190" s="15" t="str">
        <f aca="false">IFERROR(INDEX(Items!$C$2:$C$500,MATCH(I190,Items!$H$2:$H$500,0)),"UNKNOWN")</f>
        <v>Barrier</v>
      </c>
      <c r="K190" s="24" t="n">
        <f aca="false">IF(J190="UNKNOWN","",INDEX(Items!$F$2:$F$500,MATCH(I190,Items!$H$2:$H$500,0)))</f>
        <v>1450</v>
      </c>
      <c r="L190" s="24" t="n">
        <f aca="false">IF(ISNUMBER(H190),G190*H190,"")</f>
        <v>17030.88</v>
      </c>
      <c r="M190" s="28" t="n">
        <f aca="false">IF(ISNUMBER(H190),G190,0)</f>
        <v>12</v>
      </c>
      <c r="N190" s="31" t="n">
        <f aca="false">IF(AND(ISNUMBER(H190),ISNUMBER(K190)),1-H190/K190,"")</f>
        <v>0.0212137931034483</v>
      </c>
      <c r="O190" s="24" t="n">
        <f aca="false">IF(J190="UNKNOWN","",INDEX(Cost_Rollup!$F$5:$F$16,MATCH(I190,Cost_Rollup!$A$5:$A$16,0)))</f>
        <v>978.66328</v>
      </c>
      <c r="P190" s="24" t="n">
        <f aca="false">IF(AND(ISNUMBER(L190),ISNUMBER(O190)),G190*O190,"")</f>
        <v>11743.95936</v>
      </c>
      <c r="Q190" s="15" t="str">
        <f aca="false">IF(H190="","Missing price; ","")&amp;IF(J190="UNKNOWN","Unknown item; ","")&amp;IF(AND(ISNUMBER(N190),N190&gt;Discount_Threshold),"Discount above limit; ","")</f>
        <v/>
      </c>
      <c r="R190" s="15" t="str">
        <f aca="false">IF(Q190="","OK","CHECK")</f>
        <v>OK</v>
      </c>
    </row>
    <row r="191" customFormat="false" ht="15" hidden="false" customHeight="false" outlineLevel="0" collapsed="false">
      <c r="A191" s="12" t="s">
        <v>461</v>
      </c>
      <c r="B191" s="30" t="n">
        <v>45930</v>
      </c>
      <c r="C191" s="12" t="s">
        <v>260</v>
      </c>
      <c r="D191" s="12" t="s">
        <v>258</v>
      </c>
      <c r="E191" s="12" t="s">
        <v>70</v>
      </c>
      <c r="F191" s="12" t="s">
        <v>135</v>
      </c>
      <c r="G191" s="23" t="n">
        <v>358</v>
      </c>
      <c r="H191" s="22" t="n">
        <v>130.58</v>
      </c>
      <c r="I191" s="15" t="str">
        <f aca="false">UPPER(TRIM(F191))</f>
        <v>PC-HC-250</v>
      </c>
      <c r="J191" s="15" t="str">
        <f aca="false">IFERROR(INDEX(Items!$C$2:$C$500,MATCH(I191,Items!$H$2:$H$500,0)),"UNKNOWN")</f>
        <v>Slab</v>
      </c>
      <c r="K191" s="24" t="n">
        <f aca="false">IF(J191="UNKNOWN","",INDEX(Items!$F$2:$F$500,MATCH(I191,Items!$H$2:$H$500,0)))</f>
        <v>136</v>
      </c>
      <c r="L191" s="24" t="n">
        <f aca="false">IF(ISNUMBER(H191),G191*H191,"")</f>
        <v>46747.64</v>
      </c>
      <c r="M191" s="28" t="n">
        <f aca="false">IF(ISNUMBER(H191),G191,0)</f>
        <v>358</v>
      </c>
      <c r="N191" s="31" t="n">
        <f aca="false">IF(AND(ISNUMBER(H191),ISNUMBER(K191)),1-H191/K191,"")</f>
        <v>0.0398529411764705</v>
      </c>
      <c r="O191" s="24" t="n">
        <f aca="false">IF(J191="UNKNOWN","",INDEX(Cost_Rollup!$F$5:$F$16,MATCH(I191,Cost_Rollup!$A$5:$A$16,0)))</f>
        <v>92.94024</v>
      </c>
      <c r="P191" s="24" t="n">
        <f aca="false">IF(AND(ISNUMBER(L191),ISNUMBER(O191)),G191*O191,"")</f>
        <v>33272.60592</v>
      </c>
      <c r="Q191" s="15" t="str">
        <f aca="false">IF(H191="","Missing price; ","")&amp;IF(J191="UNKNOWN","Unknown item; ","")&amp;IF(AND(ISNUMBER(N191),N191&gt;Discount_Threshold),"Discount above limit; ","")</f>
        <v/>
      </c>
      <c r="R191" s="15" t="str">
        <f aca="false">IF(Q191="","OK","CHECK")</f>
        <v>OK</v>
      </c>
    </row>
    <row r="192" customFormat="false" ht="15" hidden="false" customHeight="false" outlineLevel="0" collapsed="false">
      <c r="A192" s="12" t="s">
        <v>462</v>
      </c>
      <c r="B192" s="30" t="n">
        <v>45930</v>
      </c>
      <c r="C192" s="12" t="s">
        <v>285</v>
      </c>
      <c r="D192" s="12" t="s">
        <v>266</v>
      </c>
      <c r="E192" s="12" t="s">
        <v>70</v>
      </c>
      <c r="F192" s="12" t="s">
        <v>118</v>
      </c>
      <c r="G192" s="23" t="n">
        <v>8</v>
      </c>
      <c r="H192" s="22" t="n">
        <v>1171.19</v>
      </c>
      <c r="I192" s="15" t="str">
        <f aca="false">UPPER(TRIM(F192))</f>
        <v>PC-MH-1200B</v>
      </c>
      <c r="J192" s="15" t="str">
        <f aca="false">IFERROR(INDEX(Items!$C$2:$C$500,MATCH(I192,Items!$H$2:$H$500,0)),"UNKNOWN")</f>
        <v>Manhole</v>
      </c>
      <c r="K192" s="24" t="n">
        <f aca="false">IF(J192="UNKNOWN","",INDEX(Items!$F$2:$F$500,MATCH(I192,Items!$H$2:$H$500,0)))</f>
        <v>1240</v>
      </c>
      <c r="L192" s="24" t="n">
        <f aca="false">IF(ISNUMBER(H192),G192*H192,"")</f>
        <v>9369.52</v>
      </c>
      <c r="M192" s="28" t="n">
        <f aca="false">IF(ISNUMBER(H192),G192,0)</f>
        <v>8</v>
      </c>
      <c r="N192" s="31" t="n">
        <f aca="false">IF(AND(ISNUMBER(H192),ISNUMBER(K192)),1-H192/K192,"")</f>
        <v>0.0554919354838709</v>
      </c>
      <c r="O192" s="24" t="n">
        <f aca="false">IF(J192="UNKNOWN","",INDEX(Cost_Rollup!$F$5:$F$16,MATCH(I192,Cost_Rollup!$A$5:$A$16,0)))</f>
        <v>753.4208</v>
      </c>
      <c r="P192" s="24" t="n">
        <f aca="false">IF(AND(ISNUMBER(L192),ISNUMBER(O192)),G192*O192,"")</f>
        <v>6027.3664</v>
      </c>
      <c r="Q192" s="15" t="str">
        <f aca="false">IF(H192="","Missing price; ","")&amp;IF(J192="UNKNOWN","Unknown item; ","")&amp;IF(AND(ISNUMBER(N192),N192&gt;Discount_Threshold),"Discount above limit; ","")</f>
        <v/>
      </c>
      <c r="R192" s="15" t="str">
        <f aca="false">IF(Q192="","OK","CHECK")</f>
        <v>OK</v>
      </c>
    </row>
    <row r="193" customFormat="false" ht="15" hidden="false" customHeight="false" outlineLevel="0" collapsed="false">
      <c r="A193" s="12" t="s">
        <v>463</v>
      </c>
      <c r="B193" s="30" t="n">
        <v>45931</v>
      </c>
      <c r="C193" s="12" t="s">
        <v>268</v>
      </c>
      <c r="D193" s="12" t="s">
        <v>269</v>
      </c>
      <c r="E193" s="12" t="s">
        <v>70</v>
      </c>
      <c r="F193" s="12" t="s">
        <v>108</v>
      </c>
      <c r="G193" s="23" t="n">
        <v>10</v>
      </c>
      <c r="H193" s="22" t="n">
        <v>1072.24</v>
      </c>
      <c r="I193" s="15" t="str">
        <f aca="false">UPPER(TRIM(F193))</f>
        <v>PC-RCP-0900</v>
      </c>
      <c r="J193" s="15" t="str">
        <f aca="false">IFERROR(INDEX(Items!$C$2:$C$500,MATCH(I193,Items!$H$2:$H$500,0)),"UNKNOWN")</f>
        <v>Pipe</v>
      </c>
      <c r="K193" s="24" t="n">
        <f aca="false">IF(J193="UNKNOWN","",INDEX(Items!$F$2:$F$500,MATCH(I193,Items!$H$2:$H$500,0)))</f>
        <v>1150</v>
      </c>
      <c r="L193" s="24" t="n">
        <f aca="false">IF(ISNUMBER(H193),G193*H193,"")</f>
        <v>10722.4</v>
      </c>
      <c r="M193" s="28" t="n">
        <f aca="false">IF(ISNUMBER(H193),G193,0)</f>
        <v>10</v>
      </c>
      <c r="N193" s="31" t="n">
        <f aca="false">IF(AND(ISNUMBER(H193),ISNUMBER(K193)),1-H193/K193,"")</f>
        <v>0.0676173913043479</v>
      </c>
      <c r="O193" s="24" t="n">
        <f aca="false">IF(J193="UNKNOWN","",INDEX(Cost_Rollup!$F$5:$F$16,MATCH(I193,Cost_Rollup!$A$5:$A$16,0)))</f>
        <v>750.4337265687</v>
      </c>
      <c r="P193" s="24" t="n">
        <f aca="false">IF(AND(ISNUMBER(L193),ISNUMBER(O193)),G193*O193,"")</f>
        <v>7504.337265687</v>
      </c>
      <c r="Q193" s="15" t="str">
        <f aca="false">IF(H193="","Missing price; ","")&amp;IF(J193="UNKNOWN","Unknown item; ","")&amp;IF(AND(ISNUMBER(N193),N193&gt;Discount_Threshold),"Discount above limit; ","")</f>
        <v/>
      </c>
      <c r="R193" s="15" t="str">
        <f aca="false">IF(Q193="","OK","CHECK")</f>
        <v>OK</v>
      </c>
    </row>
    <row r="194" customFormat="false" ht="15" hidden="false" customHeight="false" outlineLevel="0" collapsed="false">
      <c r="A194" s="12" t="s">
        <v>464</v>
      </c>
      <c r="B194" s="30" t="n">
        <v>45932</v>
      </c>
      <c r="C194" s="12" t="s">
        <v>276</v>
      </c>
      <c r="D194" s="12" t="s">
        <v>277</v>
      </c>
      <c r="E194" s="12" t="s">
        <v>70</v>
      </c>
      <c r="F194" s="12" t="s">
        <v>108</v>
      </c>
      <c r="G194" s="23" t="n">
        <v>30</v>
      </c>
      <c r="H194" s="22" t="n">
        <v>1079.45</v>
      </c>
      <c r="I194" s="15" t="str">
        <f aca="false">UPPER(TRIM(F194))</f>
        <v>PC-RCP-0900</v>
      </c>
      <c r="J194" s="15" t="str">
        <f aca="false">IFERROR(INDEX(Items!$C$2:$C$500,MATCH(I194,Items!$H$2:$H$500,0)),"UNKNOWN")</f>
        <v>Pipe</v>
      </c>
      <c r="K194" s="24" t="n">
        <f aca="false">IF(J194="UNKNOWN","",INDEX(Items!$F$2:$F$500,MATCH(I194,Items!$H$2:$H$500,0)))</f>
        <v>1150</v>
      </c>
      <c r="L194" s="24" t="n">
        <f aca="false">IF(ISNUMBER(H194),G194*H194,"")</f>
        <v>32383.5</v>
      </c>
      <c r="M194" s="28" t="n">
        <f aca="false">IF(ISNUMBER(H194),G194,0)</f>
        <v>30</v>
      </c>
      <c r="N194" s="31" t="n">
        <f aca="false">IF(AND(ISNUMBER(H194),ISNUMBER(K194)),1-H194/K194,"")</f>
        <v>0.0613478260869564</v>
      </c>
      <c r="O194" s="24" t="n">
        <f aca="false">IF(J194="UNKNOWN","",INDEX(Cost_Rollup!$F$5:$F$16,MATCH(I194,Cost_Rollup!$A$5:$A$16,0)))</f>
        <v>750.4337265687</v>
      </c>
      <c r="P194" s="24" t="n">
        <f aca="false">IF(AND(ISNUMBER(L194),ISNUMBER(O194)),G194*O194,"")</f>
        <v>22513.011797061</v>
      </c>
      <c r="Q194" s="15" t="str">
        <f aca="false">IF(H194="","Missing price; ","")&amp;IF(J194="UNKNOWN","Unknown item; ","")&amp;IF(AND(ISNUMBER(N194),N194&gt;Discount_Threshold),"Discount above limit; ","")</f>
        <v/>
      </c>
      <c r="R194" s="15" t="str">
        <f aca="false">IF(Q194="","OK","CHECK")</f>
        <v>OK</v>
      </c>
    </row>
    <row r="195" customFormat="false" ht="15" hidden="false" customHeight="false" outlineLevel="0" collapsed="false">
      <c r="A195" s="12" t="s">
        <v>465</v>
      </c>
      <c r="B195" s="30" t="n">
        <v>45932</v>
      </c>
      <c r="C195" s="12" t="s">
        <v>273</v>
      </c>
      <c r="D195" s="12" t="s">
        <v>274</v>
      </c>
      <c r="E195" s="12" t="s">
        <v>147</v>
      </c>
      <c r="F195" s="12" t="s">
        <v>120</v>
      </c>
      <c r="G195" s="23" t="n">
        <v>6</v>
      </c>
      <c r="H195" s="22" t="n">
        <v>530.18</v>
      </c>
      <c r="I195" s="15" t="str">
        <f aca="false">UPPER(TRIM(F195))</f>
        <v>PC-MH-1200R</v>
      </c>
      <c r="J195" s="15" t="str">
        <f aca="false">IFERROR(INDEX(Items!$C$2:$C$500,MATCH(I195,Items!$H$2:$H$500,0)),"UNKNOWN")</f>
        <v>Manhole</v>
      </c>
      <c r="K195" s="24" t="n">
        <f aca="false">IF(J195="UNKNOWN","",INDEX(Items!$F$2:$F$500,MATCH(I195,Items!$H$2:$H$500,0)))</f>
        <v>520</v>
      </c>
      <c r="L195" s="24" t="n">
        <f aca="false">IF(ISNUMBER(H195),G195*H195,"")</f>
        <v>3181.08</v>
      </c>
      <c r="M195" s="28" t="n">
        <f aca="false">IF(ISNUMBER(H195),G195,0)</f>
        <v>6</v>
      </c>
      <c r="N195" s="31" t="n">
        <f aca="false">IF(AND(ISNUMBER(H195),ISNUMBER(K195)),1-H195/K195,"")</f>
        <v>-0.0195769230769229</v>
      </c>
      <c r="O195" s="24" t="n">
        <f aca="false">IF(J195="UNKNOWN","",INDEX(Cost_Rollup!$F$5:$F$16,MATCH(I195,Cost_Rollup!$A$5:$A$16,0)))</f>
        <v>381.98428</v>
      </c>
      <c r="P195" s="24" t="n">
        <f aca="false">IF(AND(ISNUMBER(L195),ISNUMBER(O195)),G195*O195,"")</f>
        <v>2291.90568</v>
      </c>
      <c r="Q195" s="15" t="str">
        <f aca="false">IF(H195="","Missing price; ","")&amp;IF(J195="UNKNOWN","Unknown item; ","")&amp;IF(AND(ISNUMBER(N195),N195&gt;Discount_Threshold),"Discount above limit; ","")</f>
        <v/>
      </c>
      <c r="R195" s="15" t="str">
        <f aca="false">IF(Q195="","OK","CHECK")</f>
        <v>OK</v>
      </c>
    </row>
    <row r="196" customFormat="false" ht="15" hidden="false" customHeight="false" outlineLevel="0" collapsed="false">
      <c r="A196" s="12" t="s">
        <v>466</v>
      </c>
      <c r="B196" s="30" t="n">
        <v>45932</v>
      </c>
      <c r="C196" s="12" t="s">
        <v>279</v>
      </c>
      <c r="D196" s="12" t="s">
        <v>280</v>
      </c>
      <c r="E196" s="12" t="s">
        <v>147</v>
      </c>
      <c r="F196" s="12" t="s">
        <v>115</v>
      </c>
      <c r="G196" s="23" t="n">
        <v>7</v>
      </c>
      <c r="H196" s="22" t="n">
        <v>983.32</v>
      </c>
      <c r="I196" s="15" t="str">
        <f aca="false">UPPER(TRIM(F196))</f>
        <v>PC-MH-1050B</v>
      </c>
      <c r="J196" s="15" t="str">
        <f aca="false">IFERROR(INDEX(Items!$C$2:$C$500,MATCH(I196,Items!$H$2:$H$500,0)),"UNKNOWN")</f>
        <v>Manhole</v>
      </c>
      <c r="K196" s="24" t="n">
        <f aca="false">IF(J196="UNKNOWN","",INDEX(Items!$F$2:$F$500,MATCH(I196,Items!$H$2:$H$500,0)))</f>
        <v>980</v>
      </c>
      <c r="L196" s="24" t="n">
        <f aca="false">IF(ISNUMBER(H196),G196*H196,"")</f>
        <v>6883.24</v>
      </c>
      <c r="M196" s="28" t="n">
        <f aca="false">IF(ISNUMBER(H196),G196,0)</f>
        <v>7</v>
      </c>
      <c r="N196" s="31" t="n">
        <f aca="false">IF(AND(ISNUMBER(H196),ISNUMBER(K196)),1-H196/K196,"")</f>
        <v>-0.00338775510204092</v>
      </c>
      <c r="O196" s="24" t="n">
        <f aca="false">IF(J196="UNKNOWN","",INDEX(Cost_Rollup!$F$5:$F$16,MATCH(I196,Cost_Rollup!$A$5:$A$16,0)))</f>
        <v>635.433</v>
      </c>
      <c r="P196" s="24" t="n">
        <f aca="false">IF(AND(ISNUMBER(L196),ISNUMBER(O196)),G196*O196,"")</f>
        <v>4448.031</v>
      </c>
      <c r="Q196" s="15" t="str">
        <f aca="false">IF(H196="","Missing price; ","")&amp;IF(J196="UNKNOWN","Unknown item; ","")&amp;IF(AND(ISNUMBER(N196),N196&gt;Discount_Threshold),"Discount above limit; ","")</f>
        <v/>
      </c>
      <c r="R196" s="15" t="str">
        <f aca="false">IF(Q196="","OK","CHECK")</f>
        <v>OK</v>
      </c>
    </row>
    <row r="197" customFormat="false" ht="15" hidden="false" customHeight="false" outlineLevel="0" collapsed="false">
      <c r="A197" s="12" t="s">
        <v>467</v>
      </c>
      <c r="B197" s="30" t="n">
        <v>45933</v>
      </c>
      <c r="C197" s="12" t="s">
        <v>268</v>
      </c>
      <c r="D197" s="12" t="s">
        <v>269</v>
      </c>
      <c r="E197" s="12" t="s">
        <v>70</v>
      </c>
      <c r="F197" s="12" t="s">
        <v>110</v>
      </c>
      <c r="G197" s="23" t="n">
        <v>17</v>
      </c>
      <c r="H197" s="22" t="n">
        <v>1949.8</v>
      </c>
      <c r="I197" s="15" t="str">
        <f aca="false">UPPER(TRIM(F197))</f>
        <v>PC-RCP-1200</v>
      </c>
      <c r="J197" s="15" t="str">
        <f aca="false">IFERROR(INDEX(Items!$C$2:$C$500,MATCH(I197,Items!$H$2:$H$500,0)),"UNKNOWN")</f>
        <v>Pipe</v>
      </c>
      <c r="K197" s="24" t="n">
        <f aca="false">IF(J197="UNKNOWN","",INDEX(Items!$F$2:$F$500,MATCH(I197,Items!$H$2:$H$500,0)))</f>
        <v>1890</v>
      </c>
      <c r="L197" s="24" t="n">
        <f aca="false">IF(ISNUMBER(H197),G197*H197,"")</f>
        <v>33146.6</v>
      </c>
      <c r="M197" s="28" t="n">
        <f aca="false">IF(ISNUMBER(H197),G197,0)</f>
        <v>17</v>
      </c>
      <c r="N197" s="31" t="n">
        <f aca="false">IF(AND(ISNUMBER(H197),ISNUMBER(K197)),1-H197/K197,"")</f>
        <v>-0.0316402116402117</v>
      </c>
      <c r="O197" s="24" t="n">
        <f aca="false">IF(J197="UNKNOWN","",INDEX(Cost_Rollup!$F$5:$F$16,MATCH(I197,Cost_Rollup!$A$5:$A$16,0)))</f>
        <v>1206.4054</v>
      </c>
      <c r="P197" s="24" t="n">
        <f aca="false">IF(AND(ISNUMBER(L197),ISNUMBER(O197)),G197*O197,"")</f>
        <v>20508.8918</v>
      </c>
      <c r="Q197" s="15" t="str">
        <f aca="false">IF(H197="","Missing price; ","")&amp;IF(J197="UNKNOWN","Unknown item; ","")&amp;IF(AND(ISNUMBER(N197),N197&gt;Discount_Threshold),"Discount above limit; ","")</f>
        <v/>
      </c>
      <c r="R197" s="15" t="str">
        <f aca="false">IF(Q197="","OK","CHECK")</f>
        <v>OK</v>
      </c>
    </row>
    <row r="198" customFormat="false" ht="15" hidden="false" customHeight="false" outlineLevel="0" collapsed="false">
      <c r="A198" s="12" t="s">
        <v>468</v>
      </c>
      <c r="B198" s="30" t="n">
        <v>45935</v>
      </c>
      <c r="C198" s="12" t="s">
        <v>292</v>
      </c>
      <c r="D198" s="12" t="s">
        <v>277</v>
      </c>
      <c r="E198" s="12" t="s">
        <v>70</v>
      </c>
      <c r="F198" s="12" t="s">
        <v>129</v>
      </c>
      <c r="G198" s="23" t="n">
        <v>20</v>
      </c>
      <c r="H198" s="22" t="n">
        <v>2156.63</v>
      </c>
      <c r="I198" s="15" t="str">
        <f aca="false">UPPER(TRIM(F198))</f>
        <v>PC-BAR-SS60</v>
      </c>
      <c r="J198" s="15" t="str">
        <f aca="false">IFERROR(INDEX(Items!$C$2:$C$500,MATCH(I198,Items!$H$2:$H$500,0)),"UNKNOWN")</f>
        <v>Barrier</v>
      </c>
      <c r="K198" s="24" t="n">
        <f aca="false">IF(J198="UNKNOWN","",INDEX(Items!$F$2:$F$500,MATCH(I198,Items!$H$2:$H$500,0)))</f>
        <v>2350</v>
      </c>
      <c r="L198" s="24" t="n">
        <f aca="false">IF(ISNUMBER(H198),G198*H198,"")</f>
        <v>43132.6</v>
      </c>
      <c r="M198" s="28" t="n">
        <f aca="false">IF(ISNUMBER(H198),G198,0)</f>
        <v>20</v>
      </c>
      <c r="N198" s="31" t="n">
        <f aca="false">IF(AND(ISNUMBER(H198),ISNUMBER(K198)),1-H198/K198,"")</f>
        <v>0.0822851063829787</v>
      </c>
      <c r="O198" s="24" t="n">
        <f aca="false">IF(J198="UNKNOWN","",INDEX(Cost_Rollup!$F$5:$F$16,MATCH(I198,Cost_Rollup!$A$5:$A$16,0)))</f>
        <v>1583.5454</v>
      </c>
      <c r="P198" s="24" t="n">
        <f aca="false">IF(AND(ISNUMBER(L198),ISNUMBER(O198)),G198*O198,"")</f>
        <v>31670.908</v>
      </c>
      <c r="Q198" s="15" t="str">
        <f aca="false">IF(H198="","Missing price; ","")&amp;IF(J198="UNKNOWN","Unknown item; ","")&amp;IF(AND(ISNUMBER(N198),N198&gt;Discount_Threshold),"Discount above limit; ","")</f>
        <v/>
      </c>
      <c r="R198" s="15" t="str">
        <f aca="false">IF(Q198="","OK","CHECK")</f>
        <v>OK</v>
      </c>
    </row>
    <row r="199" customFormat="false" ht="15" hidden="false" customHeight="false" outlineLevel="0" collapsed="false">
      <c r="A199" s="12" t="s">
        <v>469</v>
      </c>
      <c r="B199" s="30" t="n">
        <v>45935</v>
      </c>
      <c r="C199" s="12" t="s">
        <v>263</v>
      </c>
      <c r="D199" s="12" t="s">
        <v>258</v>
      </c>
      <c r="E199" s="12" t="s">
        <v>70</v>
      </c>
      <c r="F199" s="12" t="s">
        <v>103</v>
      </c>
      <c r="G199" s="23" t="n">
        <v>14</v>
      </c>
      <c r="H199" s="22" t="n">
        <v>658.45</v>
      </c>
      <c r="I199" s="15" t="str">
        <f aca="false">UPPER(TRIM(F199))</f>
        <v>PC-RCP-0600</v>
      </c>
      <c r="J199" s="15" t="str">
        <f aca="false">IFERROR(INDEX(Items!$C$2:$C$500,MATCH(I199,Items!$H$2:$H$500,0)),"UNKNOWN")</f>
        <v>Pipe</v>
      </c>
      <c r="K199" s="24" t="n">
        <f aca="false">IF(J199="UNKNOWN","",INDEX(Items!$F$2:$F$500,MATCH(I199,Items!$H$2:$H$500,0)))</f>
        <v>640</v>
      </c>
      <c r="L199" s="24" t="n">
        <f aca="false">IF(ISNUMBER(H199),G199*H199,"")</f>
        <v>9218.3</v>
      </c>
      <c r="M199" s="28" t="n">
        <f aca="false">IF(ISNUMBER(H199),G199,0)</f>
        <v>14</v>
      </c>
      <c r="N199" s="31" t="n">
        <f aca="false">IF(AND(ISNUMBER(H199),ISNUMBER(K199)),1-H199/K199,"")</f>
        <v>-0.028828125</v>
      </c>
      <c r="O199" s="24" t="n">
        <f aca="false">IF(J199="UNKNOWN","",INDEX(Cost_Rollup!$F$5:$F$16,MATCH(I199,Cost_Rollup!$A$5:$A$16,0)))</f>
        <v>429.94832</v>
      </c>
      <c r="P199" s="24" t="n">
        <f aca="false">IF(AND(ISNUMBER(L199),ISNUMBER(O199)),G199*O199,"")</f>
        <v>6019.27648</v>
      </c>
      <c r="Q199" s="15" t="str">
        <f aca="false">IF(H199="","Missing price; ","")&amp;IF(J199="UNKNOWN","Unknown item; ","")&amp;IF(AND(ISNUMBER(N199),N199&gt;Discount_Threshold),"Discount above limit; ","")</f>
        <v/>
      </c>
      <c r="R199" s="15" t="str">
        <f aca="false">IF(Q199="","OK","CHECK")</f>
        <v>OK</v>
      </c>
    </row>
    <row r="200" customFormat="false" ht="15" hidden="false" customHeight="false" outlineLevel="0" collapsed="false">
      <c r="A200" s="12" t="s">
        <v>470</v>
      </c>
      <c r="B200" s="30" t="n">
        <v>45937</v>
      </c>
      <c r="C200" s="12" t="s">
        <v>273</v>
      </c>
      <c r="D200" s="12" t="s">
        <v>274</v>
      </c>
      <c r="E200" s="12" t="s">
        <v>147</v>
      </c>
      <c r="F200" s="12" t="s">
        <v>122</v>
      </c>
      <c r="G200" s="23" t="n">
        <v>3</v>
      </c>
      <c r="H200" s="22" t="n">
        <v>644.4</v>
      </c>
      <c r="I200" s="15" t="str">
        <f aca="false">UPPER(TRIM(F200))</f>
        <v>PC-CB-0600</v>
      </c>
      <c r="J200" s="15" t="str">
        <f aca="false">IFERROR(INDEX(Items!$C$2:$C$500,MATCH(I200,Items!$H$2:$H$500,0)),"UNKNOWN")</f>
        <v>Catch Basin</v>
      </c>
      <c r="K200" s="24" t="n">
        <f aca="false">IF(J200="UNKNOWN","",INDEX(Items!$F$2:$F$500,MATCH(I200,Items!$H$2:$H$500,0)))</f>
        <v>690</v>
      </c>
      <c r="L200" s="24" t="n">
        <f aca="false">IF(ISNUMBER(H200),G200*H200,"")</f>
        <v>1933.2</v>
      </c>
      <c r="M200" s="28" t="n">
        <f aca="false">IF(ISNUMBER(H200),G200,0)</f>
        <v>3</v>
      </c>
      <c r="N200" s="31" t="n">
        <f aca="false">IF(AND(ISNUMBER(H200),ISNUMBER(K200)),1-H200/K200,"")</f>
        <v>0.0660869565217391</v>
      </c>
      <c r="O200" s="24" t="n">
        <f aca="false">IF(J200="UNKNOWN","",INDEX(Cost_Rollup!$F$5:$F$16,MATCH(I200,Cost_Rollup!$A$5:$A$16,0)))</f>
        <v>471.0488</v>
      </c>
      <c r="P200" s="24" t="n">
        <f aca="false">IF(AND(ISNUMBER(L200),ISNUMBER(O200)),G200*O200,"")</f>
        <v>1413.1464</v>
      </c>
      <c r="Q200" s="15" t="str">
        <f aca="false">IF(H200="","Missing price; ","")&amp;IF(J200="UNKNOWN","Unknown item; ","")&amp;IF(AND(ISNUMBER(N200),N200&gt;Discount_Threshold),"Discount above limit; ","")</f>
        <v/>
      </c>
      <c r="R200" s="15" t="str">
        <f aca="false">IF(Q200="","OK","CHECK")</f>
        <v>OK</v>
      </c>
    </row>
    <row r="201" customFormat="false" ht="15" hidden="false" customHeight="false" outlineLevel="0" collapsed="false">
      <c r="A201" s="12" t="s">
        <v>471</v>
      </c>
      <c r="B201" s="30" t="n">
        <v>45938</v>
      </c>
      <c r="C201" s="12" t="s">
        <v>268</v>
      </c>
      <c r="D201" s="12" t="s">
        <v>269</v>
      </c>
      <c r="E201" s="12" t="s">
        <v>70</v>
      </c>
      <c r="F201" s="12" t="s">
        <v>115</v>
      </c>
      <c r="G201" s="23" t="n">
        <v>8</v>
      </c>
      <c r="H201" s="22" t="n">
        <v>901.33</v>
      </c>
      <c r="I201" s="15" t="str">
        <f aca="false">UPPER(TRIM(F201))</f>
        <v>PC-MH-1050B</v>
      </c>
      <c r="J201" s="15" t="str">
        <f aca="false">IFERROR(INDEX(Items!$C$2:$C$500,MATCH(I201,Items!$H$2:$H$500,0)),"UNKNOWN")</f>
        <v>Manhole</v>
      </c>
      <c r="K201" s="24" t="n">
        <f aca="false">IF(J201="UNKNOWN","",INDEX(Items!$F$2:$F$500,MATCH(I201,Items!$H$2:$H$500,0)))</f>
        <v>980</v>
      </c>
      <c r="L201" s="24" t="n">
        <f aca="false">IF(ISNUMBER(H201),G201*H201,"")</f>
        <v>7210.64</v>
      </c>
      <c r="M201" s="28" t="n">
        <f aca="false">IF(ISNUMBER(H201),G201,0)</f>
        <v>8</v>
      </c>
      <c r="N201" s="31" t="n">
        <f aca="false">IF(AND(ISNUMBER(H201),ISNUMBER(K201)),1-H201/K201,"")</f>
        <v>0.0802755102040816</v>
      </c>
      <c r="O201" s="24" t="n">
        <f aca="false">IF(J201="UNKNOWN","",INDEX(Cost_Rollup!$F$5:$F$16,MATCH(I201,Cost_Rollup!$A$5:$A$16,0)))</f>
        <v>635.433</v>
      </c>
      <c r="P201" s="24" t="n">
        <f aca="false">IF(AND(ISNUMBER(L201),ISNUMBER(O201)),G201*O201,"")</f>
        <v>5083.464</v>
      </c>
      <c r="Q201" s="15" t="str">
        <f aca="false">IF(H201="","Missing price; ","")&amp;IF(J201="UNKNOWN","Unknown item; ","")&amp;IF(AND(ISNUMBER(N201),N201&gt;Discount_Threshold),"Discount above limit; ","")</f>
        <v/>
      </c>
      <c r="R201" s="15" t="str">
        <f aca="false">IF(Q201="","OK","CHECK")</f>
        <v>OK</v>
      </c>
    </row>
    <row r="202" customFormat="false" ht="15" hidden="false" customHeight="false" outlineLevel="0" collapsed="false">
      <c r="A202" s="12" t="s">
        <v>472</v>
      </c>
      <c r="B202" s="30" t="n">
        <v>45939</v>
      </c>
      <c r="C202" s="12" t="s">
        <v>265</v>
      </c>
      <c r="D202" s="12" t="s">
        <v>266</v>
      </c>
      <c r="E202" s="12" t="s">
        <v>70</v>
      </c>
      <c r="F202" s="12" t="s">
        <v>110</v>
      </c>
      <c r="G202" s="23" t="n">
        <v>23</v>
      </c>
      <c r="H202" s="22" t="n">
        <v>1846.88</v>
      </c>
      <c r="I202" s="15" t="str">
        <f aca="false">UPPER(TRIM(F202))</f>
        <v>PC-RCP-1200</v>
      </c>
      <c r="J202" s="15" t="str">
        <f aca="false">IFERROR(INDEX(Items!$C$2:$C$500,MATCH(I202,Items!$H$2:$H$500,0)),"UNKNOWN")</f>
        <v>Pipe</v>
      </c>
      <c r="K202" s="24" t="n">
        <f aca="false">IF(J202="UNKNOWN","",INDEX(Items!$F$2:$F$500,MATCH(I202,Items!$H$2:$H$500,0)))</f>
        <v>1890</v>
      </c>
      <c r="L202" s="24" t="n">
        <f aca="false">IF(ISNUMBER(H202),G202*H202,"")</f>
        <v>42478.24</v>
      </c>
      <c r="M202" s="28" t="n">
        <f aca="false">IF(ISNUMBER(H202),G202,0)</f>
        <v>23</v>
      </c>
      <c r="N202" s="31" t="n">
        <f aca="false">IF(AND(ISNUMBER(H202),ISNUMBER(K202)),1-H202/K202,"")</f>
        <v>0.0228148148148147</v>
      </c>
      <c r="O202" s="24" t="n">
        <f aca="false">IF(J202="UNKNOWN","",INDEX(Cost_Rollup!$F$5:$F$16,MATCH(I202,Cost_Rollup!$A$5:$A$16,0)))</f>
        <v>1206.4054</v>
      </c>
      <c r="P202" s="24" t="n">
        <f aca="false">IF(AND(ISNUMBER(L202),ISNUMBER(O202)),G202*O202,"")</f>
        <v>27747.3242</v>
      </c>
      <c r="Q202" s="15" t="str">
        <f aca="false">IF(H202="","Missing price; ","")&amp;IF(J202="UNKNOWN","Unknown item; ","")&amp;IF(AND(ISNUMBER(N202),N202&gt;Discount_Threshold),"Discount above limit; ","")</f>
        <v/>
      </c>
      <c r="R202" s="15" t="str">
        <f aca="false">IF(Q202="","OK","CHECK")</f>
        <v>OK</v>
      </c>
    </row>
    <row r="203" customFormat="false" ht="15" hidden="false" customHeight="false" outlineLevel="0" collapsed="false">
      <c r="A203" s="12" t="s">
        <v>473</v>
      </c>
      <c r="B203" s="30" t="n">
        <v>45939</v>
      </c>
      <c r="C203" s="12" t="s">
        <v>257</v>
      </c>
      <c r="D203" s="12" t="s">
        <v>258</v>
      </c>
      <c r="E203" s="12" t="s">
        <v>70</v>
      </c>
      <c r="F203" s="12" t="s">
        <v>110</v>
      </c>
      <c r="G203" s="23" t="n">
        <v>18</v>
      </c>
      <c r="H203" s="22" t="n">
        <v>1323</v>
      </c>
      <c r="I203" s="15" t="str">
        <f aca="false">UPPER(TRIM(F203))</f>
        <v>PC-RCP-1200</v>
      </c>
      <c r="J203" s="15" t="str">
        <f aca="false">IFERROR(INDEX(Items!$C$2:$C$500,MATCH(I203,Items!$H$2:$H$500,0)),"UNKNOWN")</f>
        <v>Pipe</v>
      </c>
      <c r="K203" s="24" t="n">
        <f aca="false">IF(J203="UNKNOWN","",INDEX(Items!$F$2:$F$500,MATCH(I203,Items!$H$2:$H$500,0)))</f>
        <v>1890</v>
      </c>
      <c r="L203" s="24" t="n">
        <f aca="false">IF(ISNUMBER(H203),G203*H203,"")</f>
        <v>23814</v>
      </c>
      <c r="M203" s="28" t="n">
        <f aca="false">IF(ISNUMBER(H203),G203,0)</f>
        <v>18</v>
      </c>
      <c r="N203" s="31" t="n">
        <f aca="false">IF(AND(ISNUMBER(H203),ISNUMBER(K203)),1-H203/K203,"")</f>
        <v>0.3</v>
      </c>
      <c r="O203" s="24" t="n">
        <f aca="false">IF(J203="UNKNOWN","",INDEX(Cost_Rollup!$F$5:$F$16,MATCH(I203,Cost_Rollup!$A$5:$A$16,0)))</f>
        <v>1206.4054</v>
      </c>
      <c r="P203" s="24" t="n">
        <f aca="false">IF(AND(ISNUMBER(L203),ISNUMBER(O203)),G203*O203,"")</f>
        <v>21715.2972</v>
      </c>
      <c r="Q203" s="15" t="str">
        <f aca="false">IF(H203="","Missing price; ","")&amp;IF(J203="UNKNOWN","Unknown item; ","")&amp;IF(AND(ISNUMBER(N203),N203&gt;Discount_Threshold),"Discount above limit; ","")</f>
        <v>Discount above limit; </v>
      </c>
      <c r="R203" s="15" t="str">
        <f aca="false">IF(Q203="","OK","CHECK")</f>
        <v>CHECK</v>
      </c>
    </row>
    <row r="204" customFormat="false" ht="15" hidden="false" customHeight="false" outlineLevel="0" collapsed="false">
      <c r="A204" s="12" t="s">
        <v>474</v>
      </c>
      <c r="B204" s="30" t="n">
        <v>45940</v>
      </c>
      <c r="C204" s="12" t="s">
        <v>276</v>
      </c>
      <c r="D204" s="12" t="s">
        <v>277</v>
      </c>
      <c r="E204" s="12" t="s">
        <v>70</v>
      </c>
      <c r="F204" s="12" t="s">
        <v>120</v>
      </c>
      <c r="G204" s="23" t="n">
        <v>5</v>
      </c>
      <c r="H204" s="22" t="n">
        <v>525.26</v>
      </c>
      <c r="I204" s="15" t="str">
        <f aca="false">UPPER(TRIM(F204))</f>
        <v>PC-MH-1200R</v>
      </c>
      <c r="J204" s="15" t="str">
        <f aca="false">IFERROR(INDEX(Items!$C$2:$C$500,MATCH(I204,Items!$H$2:$H$500,0)),"UNKNOWN")</f>
        <v>Manhole</v>
      </c>
      <c r="K204" s="24" t="n">
        <f aca="false">IF(J204="UNKNOWN","",INDEX(Items!$F$2:$F$500,MATCH(I204,Items!$H$2:$H$500,0)))</f>
        <v>520</v>
      </c>
      <c r="L204" s="24" t="n">
        <f aca="false">IF(ISNUMBER(H204),G204*H204,"")</f>
        <v>2626.3</v>
      </c>
      <c r="M204" s="28" t="n">
        <f aca="false">IF(ISNUMBER(H204),G204,0)</f>
        <v>5</v>
      </c>
      <c r="N204" s="31" t="n">
        <f aca="false">IF(AND(ISNUMBER(H204),ISNUMBER(K204)),1-H204/K204,"")</f>
        <v>-0.0101153846153845</v>
      </c>
      <c r="O204" s="24" t="n">
        <f aca="false">IF(J204="UNKNOWN","",INDEX(Cost_Rollup!$F$5:$F$16,MATCH(I204,Cost_Rollup!$A$5:$A$16,0)))</f>
        <v>381.98428</v>
      </c>
      <c r="P204" s="24" t="n">
        <f aca="false">IF(AND(ISNUMBER(L204),ISNUMBER(O204)),G204*O204,"")</f>
        <v>1909.9214</v>
      </c>
      <c r="Q204" s="15" t="str">
        <f aca="false">IF(H204="","Missing price; ","")&amp;IF(J204="UNKNOWN","Unknown item; ","")&amp;IF(AND(ISNUMBER(N204),N204&gt;Discount_Threshold),"Discount above limit; ","")</f>
        <v/>
      </c>
      <c r="R204" s="15" t="str">
        <f aca="false">IF(Q204="","OK","CHECK")</f>
        <v>OK</v>
      </c>
    </row>
    <row r="205" customFormat="false" ht="15" hidden="false" customHeight="false" outlineLevel="0" collapsed="false">
      <c r="A205" s="12" t="s">
        <v>475</v>
      </c>
      <c r="B205" s="30" t="n">
        <v>45940</v>
      </c>
      <c r="C205" s="12" t="s">
        <v>276</v>
      </c>
      <c r="D205" s="12" t="s">
        <v>277</v>
      </c>
      <c r="E205" s="12" t="s">
        <v>70</v>
      </c>
      <c r="F205" s="12" t="s">
        <v>120</v>
      </c>
      <c r="G205" s="23" t="n">
        <v>5</v>
      </c>
      <c r="H205" s="22" t="n">
        <v>493.31</v>
      </c>
      <c r="I205" s="15" t="str">
        <f aca="false">UPPER(TRIM(F205))</f>
        <v>PC-MH-1200R</v>
      </c>
      <c r="J205" s="15" t="str">
        <f aca="false">IFERROR(INDEX(Items!$C$2:$C$500,MATCH(I205,Items!$H$2:$H$500,0)),"UNKNOWN")</f>
        <v>Manhole</v>
      </c>
      <c r="K205" s="24" t="n">
        <f aca="false">IF(J205="UNKNOWN","",INDEX(Items!$F$2:$F$500,MATCH(I205,Items!$H$2:$H$500,0)))</f>
        <v>520</v>
      </c>
      <c r="L205" s="24" t="n">
        <f aca="false">IF(ISNUMBER(H205),G205*H205,"")</f>
        <v>2466.55</v>
      </c>
      <c r="M205" s="28" t="n">
        <f aca="false">IF(ISNUMBER(H205),G205,0)</f>
        <v>5</v>
      </c>
      <c r="N205" s="31" t="n">
        <f aca="false">IF(AND(ISNUMBER(H205),ISNUMBER(K205)),1-H205/K205,"")</f>
        <v>0.0513269230769231</v>
      </c>
      <c r="O205" s="24" t="n">
        <f aca="false">IF(J205="UNKNOWN","",INDEX(Cost_Rollup!$F$5:$F$16,MATCH(I205,Cost_Rollup!$A$5:$A$16,0)))</f>
        <v>381.98428</v>
      </c>
      <c r="P205" s="24" t="n">
        <f aca="false">IF(AND(ISNUMBER(L205),ISNUMBER(O205)),G205*O205,"")</f>
        <v>1909.9214</v>
      </c>
      <c r="Q205" s="15" t="str">
        <f aca="false">IF(H205="","Missing price; ","")&amp;IF(J205="UNKNOWN","Unknown item; ","")&amp;IF(AND(ISNUMBER(N205),N205&gt;Discount_Threshold),"Discount above limit; ","")</f>
        <v/>
      </c>
      <c r="R205" s="15" t="str">
        <f aca="false">IF(Q205="","OK","CHECK")</f>
        <v>OK</v>
      </c>
    </row>
    <row r="206" customFormat="false" ht="15" hidden="false" customHeight="false" outlineLevel="0" collapsed="false">
      <c r="A206" s="12" t="s">
        <v>476</v>
      </c>
      <c r="B206" s="30" t="n">
        <v>45942</v>
      </c>
      <c r="C206" s="12" t="s">
        <v>292</v>
      </c>
      <c r="D206" s="12" t="s">
        <v>277</v>
      </c>
      <c r="E206" s="12" t="s">
        <v>70</v>
      </c>
      <c r="F206" s="12" t="s">
        <v>125</v>
      </c>
      <c r="G206" s="23" t="n">
        <v>38</v>
      </c>
      <c r="H206" s="22" t="n">
        <v>1423.49</v>
      </c>
      <c r="I206" s="15" t="str">
        <f aca="false">UPPER(TRIM(F206))</f>
        <v>PC-BAR-F38</v>
      </c>
      <c r="J206" s="15" t="str">
        <f aca="false">IFERROR(INDEX(Items!$C$2:$C$500,MATCH(I206,Items!$H$2:$H$500,0)),"UNKNOWN")</f>
        <v>Barrier</v>
      </c>
      <c r="K206" s="24" t="n">
        <f aca="false">IF(J206="UNKNOWN","",INDEX(Items!$F$2:$F$500,MATCH(I206,Items!$H$2:$H$500,0)))</f>
        <v>1450</v>
      </c>
      <c r="L206" s="24" t="n">
        <f aca="false">IF(ISNUMBER(H206),G206*H206,"")</f>
        <v>54092.62</v>
      </c>
      <c r="M206" s="28" t="n">
        <f aca="false">IF(ISNUMBER(H206),G206,0)</f>
        <v>38</v>
      </c>
      <c r="N206" s="31" t="n">
        <f aca="false">IF(AND(ISNUMBER(H206),ISNUMBER(K206)),1-H206/K206,"")</f>
        <v>0.0182827586206896</v>
      </c>
      <c r="O206" s="24" t="n">
        <f aca="false">IF(J206="UNKNOWN","",INDEX(Cost_Rollup!$F$5:$F$16,MATCH(I206,Cost_Rollup!$A$5:$A$16,0)))</f>
        <v>978.66328</v>
      </c>
      <c r="P206" s="24" t="n">
        <f aca="false">IF(AND(ISNUMBER(L206),ISNUMBER(O206)),G206*O206,"")</f>
        <v>37189.20464</v>
      </c>
      <c r="Q206" s="15" t="str">
        <f aca="false">IF(H206="","Missing price; ","")&amp;IF(J206="UNKNOWN","Unknown item; ","")&amp;IF(AND(ISNUMBER(N206),N206&gt;Discount_Threshold),"Discount above limit; ","")</f>
        <v/>
      </c>
      <c r="R206" s="15" t="str">
        <f aca="false">IF(Q206="","OK","CHECK")</f>
        <v>OK</v>
      </c>
    </row>
    <row r="207" customFormat="false" ht="15" hidden="false" customHeight="false" outlineLevel="0" collapsed="false">
      <c r="A207" s="12" t="s">
        <v>477</v>
      </c>
      <c r="B207" s="30" t="n">
        <v>45942</v>
      </c>
      <c r="C207" s="12" t="s">
        <v>276</v>
      </c>
      <c r="D207" s="12" t="s">
        <v>277</v>
      </c>
      <c r="E207" s="12" t="s">
        <v>70</v>
      </c>
      <c r="F207" s="12" t="s">
        <v>112</v>
      </c>
      <c r="G207" s="23" t="n">
        <v>8</v>
      </c>
      <c r="H207" s="22" t="n">
        <v>3844.08</v>
      </c>
      <c r="I207" s="15" t="str">
        <f aca="false">UPPER(TRIM(F207))</f>
        <v>PC-BOX-1812</v>
      </c>
      <c r="J207" s="15" t="str">
        <f aca="false">IFERROR(INDEX(Items!$C$2:$C$500,MATCH(I207,Items!$H$2:$H$500,0)),"UNKNOWN")</f>
        <v>Box Culvert</v>
      </c>
      <c r="K207" s="24" t="n">
        <f aca="false">IF(J207="UNKNOWN","",INDEX(Items!$F$2:$F$500,MATCH(I207,Items!$H$2:$H$500,0)))</f>
        <v>4200</v>
      </c>
      <c r="L207" s="24" t="n">
        <f aca="false">IF(ISNUMBER(H207),G207*H207,"")</f>
        <v>30752.64</v>
      </c>
      <c r="M207" s="28" t="n">
        <f aca="false">IF(ISNUMBER(H207),G207,0)</f>
        <v>8</v>
      </c>
      <c r="N207" s="31" t="n">
        <f aca="false">IF(AND(ISNUMBER(H207),ISNUMBER(K207)),1-H207/K207,"")</f>
        <v>0.0847428571428571</v>
      </c>
      <c r="O207" s="24" t="n">
        <f aca="false">IF(J207="UNKNOWN","",INDEX(Cost_Rollup!$F$5:$F$16,MATCH(I207,Cost_Rollup!$A$5:$A$16,0)))</f>
        <v>2795.3624</v>
      </c>
      <c r="P207" s="24" t="n">
        <f aca="false">IF(AND(ISNUMBER(L207),ISNUMBER(O207)),G207*O207,"")</f>
        <v>22362.8992</v>
      </c>
      <c r="Q207" s="15" t="str">
        <f aca="false">IF(H207="","Missing price; ","")&amp;IF(J207="UNKNOWN","Unknown item; ","")&amp;IF(AND(ISNUMBER(N207),N207&gt;Discount_Threshold),"Discount above limit; ","")</f>
        <v/>
      </c>
      <c r="R207" s="15" t="str">
        <f aca="false">IF(Q207="","OK","CHECK")</f>
        <v>OK</v>
      </c>
    </row>
    <row r="208" customFormat="false" ht="15" hidden="false" customHeight="false" outlineLevel="0" collapsed="false">
      <c r="A208" s="12" t="s">
        <v>478</v>
      </c>
      <c r="B208" s="30" t="n">
        <v>45944</v>
      </c>
      <c r="C208" s="12" t="s">
        <v>260</v>
      </c>
      <c r="D208" s="12" t="s">
        <v>258</v>
      </c>
      <c r="E208" s="12" t="s">
        <v>70</v>
      </c>
      <c r="F208" s="12" t="s">
        <v>110</v>
      </c>
      <c r="G208" s="23" t="n">
        <v>4</v>
      </c>
      <c r="H208" s="22" t="n">
        <v>1916.49</v>
      </c>
      <c r="I208" s="15" t="str">
        <f aca="false">UPPER(TRIM(F208))</f>
        <v>PC-RCP-1200</v>
      </c>
      <c r="J208" s="15" t="str">
        <f aca="false">IFERROR(INDEX(Items!$C$2:$C$500,MATCH(I208,Items!$H$2:$H$500,0)),"UNKNOWN")</f>
        <v>Pipe</v>
      </c>
      <c r="K208" s="24" t="n">
        <f aca="false">IF(J208="UNKNOWN","",INDEX(Items!$F$2:$F$500,MATCH(I208,Items!$H$2:$H$500,0)))</f>
        <v>1890</v>
      </c>
      <c r="L208" s="24" t="n">
        <f aca="false">IF(ISNUMBER(H208),G208*H208,"")</f>
        <v>7665.96</v>
      </c>
      <c r="M208" s="28" t="n">
        <f aca="false">IF(ISNUMBER(H208),G208,0)</f>
        <v>4</v>
      </c>
      <c r="N208" s="31" t="n">
        <f aca="false">IF(AND(ISNUMBER(H208),ISNUMBER(K208)),1-H208/K208,"")</f>
        <v>-0.014015873015873</v>
      </c>
      <c r="O208" s="24" t="n">
        <f aca="false">IF(J208="UNKNOWN","",INDEX(Cost_Rollup!$F$5:$F$16,MATCH(I208,Cost_Rollup!$A$5:$A$16,0)))</f>
        <v>1206.4054</v>
      </c>
      <c r="P208" s="24" t="n">
        <f aca="false">IF(AND(ISNUMBER(L208),ISNUMBER(O208)),G208*O208,"")</f>
        <v>4825.6216</v>
      </c>
      <c r="Q208" s="15" t="str">
        <f aca="false">IF(H208="","Missing price; ","")&amp;IF(J208="UNKNOWN","Unknown item; ","")&amp;IF(AND(ISNUMBER(N208),N208&gt;Discount_Threshold),"Discount above limit; ","")</f>
        <v/>
      </c>
      <c r="R208" s="15" t="str">
        <f aca="false">IF(Q208="","OK","CHECK")</f>
        <v>OK</v>
      </c>
    </row>
    <row r="209" customFormat="false" ht="15" hidden="false" customHeight="false" outlineLevel="0" collapsed="false">
      <c r="A209" s="12" t="s">
        <v>479</v>
      </c>
      <c r="B209" s="30" t="n">
        <v>45949</v>
      </c>
      <c r="C209" s="12" t="s">
        <v>285</v>
      </c>
      <c r="D209" s="12" t="s">
        <v>266</v>
      </c>
      <c r="E209" s="12" t="s">
        <v>70</v>
      </c>
      <c r="F209" s="12" t="s">
        <v>122</v>
      </c>
      <c r="G209" s="23" t="n">
        <v>3</v>
      </c>
      <c r="H209" s="22" t="n">
        <v>705.88</v>
      </c>
      <c r="I209" s="15" t="str">
        <f aca="false">UPPER(TRIM(F209))</f>
        <v>PC-CB-0600</v>
      </c>
      <c r="J209" s="15" t="str">
        <f aca="false">IFERROR(INDEX(Items!$C$2:$C$500,MATCH(I209,Items!$H$2:$H$500,0)),"UNKNOWN")</f>
        <v>Catch Basin</v>
      </c>
      <c r="K209" s="24" t="n">
        <f aca="false">IF(J209="UNKNOWN","",INDEX(Items!$F$2:$F$500,MATCH(I209,Items!$H$2:$H$500,0)))</f>
        <v>690</v>
      </c>
      <c r="L209" s="24" t="n">
        <f aca="false">IF(ISNUMBER(H209),G209*H209,"")</f>
        <v>2117.64</v>
      </c>
      <c r="M209" s="28" t="n">
        <f aca="false">IF(ISNUMBER(H209),G209,0)</f>
        <v>3</v>
      </c>
      <c r="N209" s="31" t="n">
        <f aca="false">IF(AND(ISNUMBER(H209),ISNUMBER(K209)),1-H209/K209,"")</f>
        <v>-0.0230144927536231</v>
      </c>
      <c r="O209" s="24" t="n">
        <f aca="false">IF(J209="UNKNOWN","",INDEX(Cost_Rollup!$F$5:$F$16,MATCH(I209,Cost_Rollup!$A$5:$A$16,0)))</f>
        <v>471.0488</v>
      </c>
      <c r="P209" s="24" t="n">
        <f aca="false">IF(AND(ISNUMBER(L209),ISNUMBER(O209)),G209*O209,"")</f>
        <v>1413.1464</v>
      </c>
      <c r="Q209" s="15" t="str">
        <f aca="false">IF(H209="","Missing price; ","")&amp;IF(J209="UNKNOWN","Unknown item; ","")&amp;IF(AND(ISNUMBER(N209),N209&gt;Discount_Threshold),"Discount above limit; ","")</f>
        <v/>
      </c>
      <c r="R209" s="15" t="str">
        <f aca="false">IF(Q209="","OK","CHECK")</f>
        <v>OK</v>
      </c>
    </row>
    <row r="210" customFormat="false" ht="15" hidden="false" customHeight="false" outlineLevel="0" collapsed="false">
      <c r="A210" s="12" t="s">
        <v>480</v>
      </c>
      <c r="B210" s="30" t="n">
        <v>45950</v>
      </c>
      <c r="C210" s="12" t="s">
        <v>285</v>
      </c>
      <c r="D210" s="12" t="s">
        <v>266</v>
      </c>
      <c r="E210" s="12" t="s">
        <v>70</v>
      </c>
      <c r="F210" s="12" t="s">
        <v>118</v>
      </c>
      <c r="G210" s="23" t="n">
        <v>6</v>
      </c>
      <c r="H210" s="22" t="n">
        <v>1251.37</v>
      </c>
      <c r="I210" s="15" t="str">
        <f aca="false">UPPER(TRIM(F210))</f>
        <v>PC-MH-1200B</v>
      </c>
      <c r="J210" s="15" t="str">
        <f aca="false">IFERROR(INDEX(Items!$C$2:$C$500,MATCH(I210,Items!$H$2:$H$500,0)),"UNKNOWN")</f>
        <v>Manhole</v>
      </c>
      <c r="K210" s="24" t="n">
        <f aca="false">IF(J210="UNKNOWN","",INDEX(Items!$F$2:$F$500,MATCH(I210,Items!$H$2:$H$500,0)))</f>
        <v>1240</v>
      </c>
      <c r="L210" s="24" t="n">
        <f aca="false">IF(ISNUMBER(H210),G210*H210,"")</f>
        <v>7508.22</v>
      </c>
      <c r="M210" s="28" t="n">
        <f aca="false">IF(ISNUMBER(H210),G210,0)</f>
        <v>6</v>
      </c>
      <c r="N210" s="31" t="n">
        <f aca="false">IF(AND(ISNUMBER(H210),ISNUMBER(K210)),1-H210/K210,"")</f>
        <v>-0.00916935483870951</v>
      </c>
      <c r="O210" s="24" t="n">
        <f aca="false">IF(J210="UNKNOWN","",INDEX(Cost_Rollup!$F$5:$F$16,MATCH(I210,Cost_Rollup!$A$5:$A$16,0)))</f>
        <v>753.4208</v>
      </c>
      <c r="P210" s="24" t="n">
        <f aca="false">IF(AND(ISNUMBER(L210),ISNUMBER(O210)),G210*O210,"")</f>
        <v>4520.5248</v>
      </c>
      <c r="Q210" s="15" t="str">
        <f aca="false">IF(H210="","Missing price; ","")&amp;IF(J210="UNKNOWN","Unknown item; ","")&amp;IF(AND(ISNUMBER(N210),N210&gt;Discount_Threshold),"Discount above limit; ","")</f>
        <v/>
      </c>
      <c r="R210" s="15" t="str">
        <f aca="false">IF(Q210="","OK","CHECK")</f>
        <v>OK</v>
      </c>
    </row>
    <row r="211" customFormat="false" ht="15" hidden="false" customHeight="false" outlineLevel="0" collapsed="false">
      <c r="A211" s="12" t="s">
        <v>481</v>
      </c>
      <c r="B211" s="30" t="n">
        <v>45951</v>
      </c>
      <c r="C211" s="12" t="s">
        <v>279</v>
      </c>
      <c r="D211" s="12" t="s">
        <v>280</v>
      </c>
      <c r="E211" s="12" t="s">
        <v>147</v>
      </c>
      <c r="F211" s="12" t="s">
        <v>125</v>
      </c>
      <c r="G211" s="23" t="n">
        <v>38</v>
      </c>
      <c r="H211" s="22" t="n">
        <v>1468.45</v>
      </c>
      <c r="I211" s="15" t="str">
        <f aca="false">UPPER(TRIM(F211))</f>
        <v>PC-BAR-F38</v>
      </c>
      <c r="J211" s="15" t="str">
        <f aca="false">IFERROR(INDEX(Items!$C$2:$C$500,MATCH(I211,Items!$H$2:$H$500,0)),"UNKNOWN")</f>
        <v>Barrier</v>
      </c>
      <c r="K211" s="24" t="n">
        <f aca="false">IF(J211="UNKNOWN","",INDEX(Items!$F$2:$F$500,MATCH(I211,Items!$H$2:$H$500,0)))</f>
        <v>1450</v>
      </c>
      <c r="L211" s="24" t="n">
        <f aca="false">IF(ISNUMBER(H211),G211*H211,"")</f>
        <v>55801.1</v>
      </c>
      <c r="M211" s="28" t="n">
        <f aca="false">IF(ISNUMBER(H211),G211,0)</f>
        <v>38</v>
      </c>
      <c r="N211" s="31" t="n">
        <f aca="false">IF(AND(ISNUMBER(H211),ISNUMBER(K211)),1-H211/K211,"")</f>
        <v>-0.0127241379310346</v>
      </c>
      <c r="O211" s="24" t="n">
        <f aca="false">IF(J211="UNKNOWN","",INDEX(Cost_Rollup!$F$5:$F$16,MATCH(I211,Cost_Rollup!$A$5:$A$16,0)))</f>
        <v>978.66328</v>
      </c>
      <c r="P211" s="24" t="n">
        <f aca="false">IF(AND(ISNUMBER(L211),ISNUMBER(O211)),G211*O211,"")</f>
        <v>37189.20464</v>
      </c>
      <c r="Q211" s="15" t="str">
        <f aca="false">IF(H211="","Missing price; ","")&amp;IF(J211="UNKNOWN","Unknown item; ","")&amp;IF(AND(ISNUMBER(N211),N211&gt;Discount_Threshold),"Discount above limit; ","")</f>
        <v/>
      </c>
      <c r="R211" s="15" t="str">
        <f aca="false">IF(Q211="","OK","CHECK")</f>
        <v>OK</v>
      </c>
    </row>
    <row r="212" customFormat="false" ht="15" hidden="false" customHeight="false" outlineLevel="0" collapsed="false">
      <c r="A212" s="12" t="s">
        <v>482</v>
      </c>
      <c r="B212" s="30" t="n">
        <v>45953</v>
      </c>
      <c r="C212" s="12" t="s">
        <v>265</v>
      </c>
      <c r="D212" s="12" t="s">
        <v>266</v>
      </c>
      <c r="E212" s="12" t="s">
        <v>70</v>
      </c>
      <c r="F212" s="12" t="s">
        <v>129</v>
      </c>
      <c r="G212" s="23" t="n">
        <v>23</v>
      </c>
      <c r="H212" s="22" t="n">
        <v>2300.17</v>
      </c>
      <c r="I212" s="15" t="str">
        <f aca="false">UPPER(TRIM(F212))</f>
        <v>PC-BAR-SS60</v>
      </c>
      <c r="J212" s="15" t="str">
        <f aca="false">IFERROR(INDEX(Items!$C$2:$C$500,MATCH(I212,Items!$H$2:$H$500,0)),"UNKNOWN")</f>
        <v>Barrier</v>
      </c>
      <c r="K212" s="24" t="n">
        <f aca="false">IF(J212="UNKNOWN","",INDEX(Items!$F$2:$F$500,MATCH(I212,Items!$H$2:$H$500,0)))</f>
        <v>2350</v>
      </c>
      <c r="L212" s="24" t="n">
        <f aca="false">IF(ISNUMBER(H212),G212*H212,"")</f>
        <v>52903.91</v>
      </c>
      <c r="M212" s="28" t="n">
        <f aca="false">IF(ISNUMBER(H212),G212,0)</f>
        <v>23</v>
      </c>
      <c r="N212" s="31" t="n">
        <f aca="false">IF(AND(ISNUMBER(H212),ISNUMBER(K212)),1-H212/K212,"")</f>
        <v>0.0212042553191489</v>
      </c>
      <c r="O212" s="24" t="n">
        <f aca="false">IF(J212="UNKNOWN","",INDEX(Cost_Rollup!$F$5:$F$16,MATCH(I212,Cost_Rollup!$A$5:$A$16,0)))</f>
        <v>1583.5454</v>
      </c>
      <c r="P212" s="24" t="n">
        <f aca="false">IF(AND(ISNUMBER(L212),ISNUMBER(O212)),G212*O212,"")</f>
        <v>36421.5442</v>
      </c>
      <c r="Q212" s="15" t="str">
        <f aca="false">IF(H212="","Missing price; ","")&amp;IF(J212="UNKNOWN","Unknown item; ","")&amp;IF(AND(ISNUMBER(N212),N212&gt;Discount_Threshold),"Discount above limit; ","")</f>
        <v/>
      </c>
      <c r="R212" s="15" t="str">
        <f aca="false">IF(Q212="","OK","CHECK")</f>
        <v>OK</v>
      </c>
    </row>
    <row r="213" customFormat="false" ht="15" hidden="false" customHeight="false" outlineLevel="0" collapsed="false">
      <c r="A213" s="12" t="s">
        <v>483</v>
      </c>
      <c r="B213" s="30" t="n">
        <v>45956</v>
      </c>
      <c r="C213" s="12" t="s">
        <v>276</v>
      </c>
      <c r="D213" s="12" t="s">
        <v>277</v>
      </c>
      <c r="E213" s="12" t="s">
        <v>70</v>
      </c>
      <c r="F213" s="12" t="s">
        <v>135</v>
      </c>
      <c r="G213" s="23" t="n">
        <v>291</v>
      </c>
      <c r="H213" s="22" t="n">
        <v>136.7</v>
      </c>
      <c r="I213" s="15" t="str">
        <f aca="false">UPPER(TRIM(F213))</f>
        <v>PC-HC-250</v>
      </c>
      <c r="J213" s="15" t="str">
        <f aca="false">IFERROR(INDEX(Items!$C$2:$C$500,MATCH(I213,Items!$H$2:$H$500,0)),"UNKNOWN")</f>
        <v>Slab</v>
      </c>
      <c r="K213" s="24" t="n">
        <f aca="false">IF(J213="UNKNOWN","",INDEX(Items!$F$2:$F$500,MATCH(I213,Items!$H$2:$H$500,0)))</f>
        <v>136</v>
      </c>
      <c r="L213" s="24" t="n">
        <f aca="false">IF(ISNUMBER(H213),G213*H213,"")</f>
        <v>39779.7</v>
      </c>
      <c r="M213" s="28" t="n">
        <f aca="false">IF(ISNUMBER(H213),G213,0)</f>
        <v>291</v>
      </c>
      <c r="N213" s="31" t="n">
        <f aca="false">IF(AND(ISNUMBER(H213),ISNUMBER(K213)),1-H213/K213,"")</f>
        <v>-0.00514705882352939</v>
      </c>
      <c r="O213" s="24" t="n">
        <f aca="false">IF(J213="UNKNOWN","",INDEX(Cost_Rollup!$F$5:$F$16,MATCH(I213,Cost_Rollup!$A$5:$A$16,0)))</f>
        <v>92.94024</v>
      </c>
      <c r="P213" s="24" t="n">
        <f aca="false">IF(AND(ISNUMBER(L213),ISNUMBER(O213)),G213*O213,"")</f>
        <v>27045.60984</v>
      </c>
      <c r="Q213" s="15" t="str">
        <f aca="false">IF(H213="","Missing price; ","")&amp;IF(J213="UNKNOWN","Unknown item; ","")&amp;IF(AND(ISNUMBER(N213),N213&gt;Discount_Threshold),"Discount above limit; ","")</f>
        <v/>
      </c>
      <c r="R213" s="15" t="str">
        <f aca="false">IF(Q213="","OK","CHECK")</f>
        <v>OK</v>
      </c>
    </row>
    <row r="214" customFormat="false" ht="15" hidden="false" customHeight="false" outlineLevel="0" collapsed="false">
      <c r="A214" s="12" t="s">
        <v>484</v>
      </c>
      <c r="B214" s="30" t="n">
        <v>45957</v>
      </c>
      <c r="C214" s="12" t="s">
        <v>265</v>
      </c>
      <c r="D214" s="12" t="s">
        <v>266</v>
      </c>
      <c r="E214" s="12" t="s">
        <v>70</v>
      </c>
      <c r="F214" s="12" t="s">
        <v>110</v>
      </c>
      <c r="G214" s="23" t="n">
        <v>30</v>
      </c>
      <c r="H214" s="22" t="n">
        <v>1713.94</v>
      </c>
      <c r="I214" s="15" t="str">
        <f aca="false">UPPER(TRIM(F214))</f>
        <v>PC-RCP-1200</v>
      </c>
      <c r="J214" s="15" t="str">
        <f aca="false">IFERROR(INDEX(Items!$C$2:$C$500,MATCH(I214,Items!$H$2:$H$500,0)),"UNKNOWN")</f>
        <v>Pipe</v>
      </c>
      <c r="K214" s="24" t="n">
        <f aca="false">IF(J214="UNKNOWN","",INDEX(Items!$F$2:$F$500,MATCH(I214,Items!$H$2:$H$500,0)))</f>
        <v>1890</v>
      </c>
      <c r="L214" s="24" t="n">
        <f aca="false">IF(ISNUMBER(H214),G214*H214,"")</f>
        <v>51418.2</v>
      </c>
      <c r="M214" s="28" t="n">
        <f aca="false">IF(ISNUMBER(H214),G214,0)</f>
        <v>30</v>
      </c>
      <c r="N214" s="31" t="n">
        <f aca="false">IF(AND(ISNUMBER(H214),ISNUMBER(K214)),1-H214/K214,"")</f>
        <v>0.0931534391534391</v>
      </c>
      <c r="O214" s="24" t="n">
        <f aca="false">IF(J214="UNKNOWN","",INDEX(Cost_Rollup!$F$5:$F$16,MATCH(I214,Cost_Rollup!$A$5:$A$16,0)))</f>
        <v>1206.4054</v>
      </c>
      <c r="P214" s="24" t="n">
        <f aca="false">IF(AND(ISNUMBER(L214),ISNUMBER(O214)),G214*O214,"")</f>
        <v>36192.162</v>
      </c>
      <c r="Q214" s="15" t="str">
        <f aca="false">IF(H214="","Missing price; ","")&amp;IF(J214="UNKNOWN","Unknown item; ","")&amp;IF(AND(ISNUMBER(N214),N214&gt;Discount_Threshold),"Discount above limit; ","")</f>
        <v/>
      </c>
      <c r="R214" s="15" t="str">
        <f aca="false">IF(Q214="","OK","CHECK")</f>
        <v>OK</v>
      </c>
    </row>
    <row r="215" customFormat="false" ht="15" hidden="false" customHeight="false" outlineLevel="0" collapsed="false">
      <c r="A215" s="12" t="s">
        <v>485</v>
      </c>
      <c r="B215" s="30" t="n">
        <v>45957</v>
      </c>
      <c r="C215" s="12" t="s">
        <v>279</v>
      </c>
      <c r="D215" s="12" t="s">
        <v>280</v>
      </c>
      <c r="E215" s="12" t="s">
        <v>147</v>
      </c>
      <c r="F215" s="12" t="s">
        <v>129</v>
      </c>
      <c r="G215" s="23" t="n">
        <v>35</v>
      </c>
      <c r="H215" s="22" t="n">
        <v>2292.92</v>
      </c>
      <c r="I215" s="15" t="str">
        <f aca="false">UPPER(TRIM(F215))</f>
        <v>PC-BAR-SS60</v>
      </c>
      <c r="J215" s="15" t="str">
        <f aca="false">IFERROR(INDEX(Items!$C$2:$C$500,MATCH(I215,Items!$H$2:$H$500,0)),"UNKNOWN")</f>
        <v>Barrier</v>
      </c>
      <c r="K215" s="24" t="n">
        <f aca="false">IF(J215="UNKNOWN","",INDEX(Items!$F$2:$F$500,MATCH(I215,Items!$H$2:$H$500,0)))</f>
        <v>2350</v>
      </c>
      <c r="L215" s="24" t="n">
        <f aca="false">IF(ISNUMBER(H215),G215*H215,"")</f>
        <v>80252.2</v>
      </c>
      <c r="M215" s="28" t="n">
        <f aca="false">IF(ISNUMBER(H215),G215,0)</f>
        <v>35</v>
      </c>
      <c r="N215" s="31" t="n">
        <f aca="false">IF(AND(ISNUMBER(H215),ISNUMBER(K215)),1-H215/K215,"")</f>
        <v>0.0242893617021276</v>
      </c>
      <c r="O215" s="24" t="n">
        <f aca="false">IF(J215="UNKNOWN","",INDEX(Cost_Rollup!$F$5:$F$16,MATCH(I215,Cost_Rollup!$A$5:$A$16,0)))</f>
        <v>1583.5454</v>
      </c>
      <c r="P215" s="24" t="n">
        <f aca="false">IF(AND(ISNUMBER(L215),ISNUMBER(O215)),G215*O215,"")</f>
        <v>55424.089</v>
      </c>
      <c r="Q215" s="15" t="str">
        <f aca="false">IF(H215="","Missing price; ","")&amp;IF(J215="UNKNOWN","Unknown item; ","")&amp;IF(AND(ISNUMBER(N215),N215&gt;Discount_Threshold),"Discount above limit; ","")</f>
        <v/>
      </c>
      <c r="R215" s="15" t="str">
        <f aca="false">IF(Q215="","OK","CHECK")</f>
        <v>OK</v>
      </c>
    </row>
    <row r="216" customFormat="false" ht="15" hidden="false" customHeight="false" outlineLevel="0" collapsed="false">
      <c r="A216" s="12" t="s">
        <v>486</v>
      </c>
      <c r="B216" s="30" t="n">
        <v>45959</v>
      </c>
      <c r="C216" s="12" t="s">
        <v>292</v>
      </c>
      <c r="D216" s="12" t="s">
        <v>277</v>
      </c>
      <c r="E216" s="12" t="s">
        <v>70</v>
      </c>
      <c r="F216" s="12" t="s">
        <v>118</v>
      </c>
      <c r="G216" s="23" t="n">
        <v>7</v>
      </c>
      <c r="H216" s="22" t="n">
        <v>1182.68</v>
      </c>
      <c r="I216" s="15" t="str">
        <f aca="false">UPPER(TRIM(F216))</f>
        <v>PC-MH-1200B</v>
      </c>
      <c r="J216" s="15" t="str">
        <f aca="false">IFERROR(INDEX(Items!$C$2:$C$500,MATCH(I216,Items!$H$2:$H$500,0)),"UNKNOWN")</f>
        <v>Manhole</v>
      </c>
      <c r="K216" s="24" t="n">
        <f aca="false">IF(J216="UNKNOWN","",INDEX(Items!$F$2:$F$500,MATCH(I216,Items!$H$2:$H$500,0)))</f>
        <v>1240</v>
      </c>
      <c r="L216" s="24" t="n">
        <f aca="false">IF(ISNUMBER(H216),G216*H216,"")</f>
        <v>8278.76</v>
      </c>
      <c r="M216" s="28" t="n">
        <f aca="false">IF(ISNUMBER(H216),G216,0)</f>
        <v>7</v>
      </c>
      <c r="N216" s="31" t="n">
        <f aca="false">IF(AND(ISNUMBER(H216),ISNUMBER(K216)),1-H216/K216,"")</f>
        <v>0.0462258064516129</v>
      </c>
      <c r="O216" s="24" t="n">
        <f aca="false">IF(J216="UNKNOWN","",INDEX(Cost_Rollup!$F$5:$F$16,MATCH(I216,Cost_Rollup!$A$5:$A$16,0)))</f>
        <v>753.4208</v>
      </c>
      <c r="P216" s="24" t="n">
        <f aca="false">IF(AND(ISNUMBER(L216),ISNUMBER(O216)),G216*O216,"")</f>
        <v>5273.9456</v>
      </c>
      <c r="Q216" s="15" t="str">
        <f aca="false">IF(H216="","Missing price; ","")&amp;IF(J216="UNKNOWN","Unknown item; ","")&amp;IF(AND(ISNUMBER(N216),N216&gt;Discount_Threshold),"Discount above limit; ","")</f>
        <v/>
      </c>
      <c r="R216" s="15" t="str">
        <f aca="false">IF(Q216="","OK","CHECK")</f>
        <v>OK</v>
      </c>
    </row>
    <row r="217" customFormat="false" ht="15" hidden="false" customHeight="false" outlineLevel="0" collapsed="false">
      <c r="A217" s="12" t="s">
        <v>487</v>
      </c>
      <c r="B217" s="30" t="n">
        <v>45959</v>
      </c>
      <c r="C217" s="12" t="s">
        <v>285</v>
      </c>
      <c r="D217" s="12" t="s">
        <v>266</v>
      </c>
      <c r="E217" s="12" t="s">
        <v>70</v>
      </c>
      <c r="F217" s="12" t="s">
        <v>120</v>
      </c>
      <c r="G217" s="23" t="n">
        <v>8</v>
      </c>
      <c r="H217" s="22" t="n">
        <v>529.98</v>
      </c>
      <c r="I217" s="15" t="str">
        <f aca="false">UPPER(TRIM(F217))</f>
        <v>PC-MH-1200R</v>
      </c>
      <c r="J217" s="15" t="str">
        <f aca="false">IFERROR(INDEX(Items!$C$2:$C$500,MATCH(I217,Items!$H$2:$H$500,0)),"UNKNOWN")</f>
        <v>Manhole</v>
      </c>
      <c r="K217" s="24" t="n">
        <f aca="false">IF(J217="UNKNOWN","",INDEX(Items!$F$2:$F$500,MATCH(I217,Items!$H$2:$H$500,0)))</f>
        <v>520</v>
      </c>
      <c r="L217" s="24" t="n">
        <f aca="false">IF(ISNUMBER(H217),G217*H217,"")</f>
        <v>4239.84</v>
      </c>
      <c r="M217" s="28" t="n">
        <f aca="false">IF(ISNUMBER(H217),G217,0)</f>
        <v>8</v>
      </c>
      <c r="N217" s="31" t="n">
        <f aca="false">IF(AND(ISNUMBER(H217),ISNUMBER(K217)),1-H217/K217,"")</f>
        <v>-0.0191923076923077</v>
      </c>
      <c r="O217" s="24" t="n">
        <f aca="false">IF(J217="UNKNOWN","",INDEX(Cost_Rollup!$F$5:$F$16,MATCH(I217,Cost_Rollup!$A$5:$A$16,0)))</f>
        <v>381.98428</v>
      </c>
      <c r="P217" s="24" t="n">
        <f aca="false">IF(AND(ISNUMBER(L217),ISNUMBER(O217)),G217*O217,"")</f>
        <v>3055.87424</v>
      </c>
      <c r="Q217" s="15" t="str">
        <f aca="false">IF(H217="","Missing price; ","")&amp;IF(J217="UNKNOWN","Unknown item; ","")&amp;IF(AND(ISNUMBER(N217),N217&gt;Discount_Threshold),"Discount above limit; ","")</f>
        <v/>
      </c>
      <c r="R217" s="15" t="str">
        <f aca="false">IF(Q217="","OK","CHECK")</f>
        <v>OK</v>
      </c>
    </row>
    <row r="218" customFormat="false" ht="15" hidden="false" customHeight="false" outlineLevel="0" collapsed="false">
      <c r="A218" s="12" t="s">
        <v>488</v>
      </c>
      <c r="B218" s="30" t="n">
        <v>45959</v>
      </c>
      <c r="C218" s="12" t="s">
        <v>268</v>
      </c>
      <c r="D218" s="12" t="s">
        <v>269</v>
      </c>
      <c r="E218" s="12" t="s">
        <v>70</v>
      </c>
      <c r="F218" s="12" t="s">
        <v>112</v>
      </c>
      <c r="G218" s="23" t="n">
        <v>10</v>
      </c>
      <c r="H218" s="22" t="n">
        <v>3886.59</v>
      </c>
      <c r="I218" s="15" t="str">
        <f aca="false">UPPER(TRIM(F218))</f>
        <v>PC-BOX-1812</v>
      </c>
      <c r="J218" s="15" t="str">
        <f aca="false">IFERROR(INDEX(Items!$C$2:$C$500,MATCH(I218,Items!$H$2:$H$500,0)),"UNKNOWN")</f>
        <v>Box Culvert</v>
      </c>
      <c r="K218" s="24" t="n">
        <f aca="false">IF(J218="UNKNOWN","",INDEX(Items!$F$2:$F$500,MATCH(I218,Items!$H$2:$H$500,0)))</f>
        <v>4200</v>
      </c>
      <c r="L218" s="24" t="n">
        <f aca="false">IF(ISNUMBER(H218),G218*H218,"")</f>
        <v>38865.9</v>
      </c>
      <c r="M218" s="28" t="n">
        <f aca="false">IF(ISNUMBER(H218),G218,0)</f>
        <v>10</v>
      </c>
      <c r="N218" s="31" t="n">
        <f aca="false">IF(AND(ISNUMBER(H218),ISNUMBER(K218)),1-H218/K218,"")</f>
        <v>0.0746214285714285</v>
      </c>
      <c r="O218" s="24" t="n">
        <f aca="false">IF(J218="UNKNOWN","",INDEX(Cost_Rollup!$F$5:$F$16,MATCH(I218,Cost_Rollup!$A$5:$A$16,0)))</f>
        <v>2795.3624</v>
      </c>
      <c r="P218" s="24" t="n">
        <f aca="false">IF(AND(ISNUMBER(L218),ISNUMBER(O218)),G218*O218,"")</f>
        <v>27953.624</v>
      </c>
      <c r="Q218" s="15" t="str">
        <f aca="false">IF(H218="","Missing price; ","")&amp;IF(J218="UNKNOWN","Unknown item; ","")&amp;IF(AND(ISNUMBER(N218),N218&gt;Discount_Threshold),"Discount above limit; ","")</f>
        <v/>
      </c>
      <c r="R218" s="15" t="str">
        <f aca="false">IF(Q218="","OK","CHECK")</f>
        <v>OK</v>
      </c>
    </row>
    <row r="219" customFormat="false" ht="15" hidden="false" customHeight="false" outlineLevel="0" collapsed="false">
      <c r="A219" s="12" t="s">
        <v>489</v>
      </c>
      <c r="B219" s="30" t="n">
        <v>45962</v>
      </c>
      <c r="C219" s="12" t="s">
        <v>276</v>
      </c>
      <c r="D219" s="12" t="s">
        <v>277</v>
      </c>
      <c r="E219" s="12" t="s">
        <v>70</v>
      </c>
      <c r="F219" s="12" t="s">
        <v>122</v>
      </c>
      <c r="G219" s="23" t="n">
        <v>3</v>
      </c>
      <c r="H219" s="22" t="n">
        <v>662.1</v>
      </c>
      <c r="I219" s="15" t="str">
        <f aca="false">UPPER(TRIM(F219))</f>
        <v>PC-CB-0600</v>
      </c>
      <c r="J219" s="15" t="str">
        <f aca="false">IFERROR(INDEX(Items!$C$2:$C$500,MATCH(I219,Items!$H$2:$H$500,0)),"UNKNOWN")</f>
        <v>Catch Basin</v>
      </c>
      <c r="K219" s="24" t="n">
        <f aca="false">IF(J219="UNKNOWN","",INDEX(Items!$F$2:$F$500,MATCH(I219,Items!$H$2:$H$500,0)))</f>
        <v>690</v>
      </c>
      <c r="L219" s="24" t="n">
        <f aca="false">IF(ISNUMBER(H219),G219*H219,"")</f>
        <v>1986.3</v>
      </c>
      <c r="M219" s="28" t="n">
        <f aca="false">IF(ISNUMBER(H219),G219,0)</f>
        <v>3</v>
      </c>
      <c r="N219" s="31" t="n">
        <f aca="false">IF(AND(ISNUMBER(H219),ISNUMBER(K219)),1-H219/K219,"")</f>
        <v>0.0404347826086956</v>
      </c>
      <c r="O219" s="24" t="n">
        <f aca="false">IF(J219="UNKNOWN","",INDEX(Cost_Rollup!$F$5:$F$16,MATCH(I219,Cost_Rollup!$A$5:$A$16,0)))</f>
        <v>471.0488</v>
      </c>
      <c r="P219" s="24" t="n">
        <f aca="false">IF(AND(ISNUMBER(L219),ISNUMBER(O219)),G219*O219,"")</f>
        <v>1413.1464</v>
      </c>
      <c r="Q219" s="15" t="str">
        <f aca="false">IF(H219="","Missing price; ","")&amp;IF(J219="UNKNOWN","Unknown item; ","")&amp;IF(AND(ISNUMBER(N219),N219&gt;Discount_Threshold),"Discount above limit; ","")</f>
        <v/>
      </c>
      <c r="R219" s="15" t="str">
        <f aca="false">IF(Q219="","OK","CHECK")</f>
        <v>OK</v>
      </c>
    </row>
    <row r="220" customFormat="false" ht="15" hidden="false" customHeight="false" outlineLevel="0" collapsed="false">
      <c r="A220" s="12" t="s">
        <v>490</v>
      </c>
      <c r="B220" s="30" t="n">
        <v>45963</v>
      </c>
      <c r="C220" s="12" t="s">
        <v>279</v>
      </c>
      <c r="D220" s="12" t="s">
        <v>280</v>
      </c>
      <c r="E220" s="12" t="s">
        <v>147</v>
      </c>
      <c r="F220" s="12" t="s">
        <v>112</v>
      </c>
      <c r="G220" s="23" t="n">
        <v>2</v>
      </c>
      <c r="H220" s="22" t="n">
        <v>4141.15</v>
      </c>
      <c r="I220" s="15" t="str">
        <f aca="false">UPPER(TRIM(F220))</f>
        <v>PC-BOX-1812</v>
      </c>
      <c r="J220" s="15" t="str">
        <f aca="false">IFERROR(INDEX(Items!$C$2:$C$500,MATCH(I220,Items!$H$2:$H$500,0)),"UNKNOWN")</f>
        <v>Box Culvert</v>
      </c>
      <c r="K220" s="24" t="n">
        <f aca="false">IF(J220="UNKNOWN","",INDEX(Items!$F$2:$F$500,MATCH(I220,Items!$H$2:$H$500,0)))</f>
        <v>4200</v>
      </c>
      <c r="L220" s="24" t="n">
        <f aca="false">IF(ISNUMBER(H220),G220*H220,"")</f>
        <v>8282.3</v>
      </c>
      <c r="M220" s="28" t="n">
        <f aca="false">IF(ISNUMBER(H220),G220,0)</f>
        <v>2</v>
      </c>
      <c r="N220" s="31" t="n">
        <f aca="false">IF(AND(ISNUMBER(H220),ISNUMBER(K220)),1-H220/K220,"")</f>
        <v>0.0140119047619048</v>
      </c>
      <c r="O220" s="24" t="n">
        <f aca="false">IF(J220="UNKNOWN","",INDEX(Cost_Rollup!$F$5:$F$16,MATCH(I220,Cost_Rollup!$A$5:$A$16,0)))</f>
        <v>2795.3624</v>
      </c>
      <c r="P220" s="24" t="n">
        <f aca="false">IF(AND(ISNUMBER(L220),ISNUMBER(O220)),G220*O220,"")</f>
        <v>5590.7248</v>
      </c>
      <c r="Q220" s="15" t="str">
        <f aca="false">IF(H220="","Missing price; ","")&amp;IF(J220="UNKNOWN","Unknown item; ","")&amp;IF(AND(ISNUMBER(N220),N220&gt;Discount_Threshold),"Discount above limit; ","")</f>
        <v/>
      </c>
      <c r="R220" s="15" t="str">
        <f aca="false">IF(Q220="","OK","CHECK")</f>
        <v>OK</v>
      </c>
    </row>
    <row r="221" customFormat="false" ht="15" hidden="false" customHeight="false" outlineLevel="0" collapsed="false">
      <c r="A221" s="12" t="s">
        <v>491</v>
      </c>
      <c r="B221" s="30" t="n">
        <v>45963</v>
      </c>
      <c r="C221" s="12" t="s">
        <v>268</v>
      </c>
      <c r="D221" s="12" t="s">
        <v>269</v>
      </c>
      <c r="E221" s="12" t="s">
        <v>70</v>
      </c>
      <c r="F221" s="12" t="s">
        <v>118</v>
      </c>
      <c r="G221" s="23" t="n">
        <v>1</v>
      </c>
      <c r="H221" s="22" t="n">
        <v>1144.44</v>
      </c>
      <c r="I221" s="15" t="str">
        <f aca="false">UPPER(TRIM(F221))</f>
        <v>PC-MH-1200B</v>
      </c>
      <c r="J221" s="15" t="str">
        <f aca="false">IFERROR(INDEX(Items!$C$2:$C$500,MATCH(I221,Items!$H$2:$H$500,0)),"UNKNOWN")</f>
        <v>Manhole</v>
      </c>
      <c r="K221" s="24" t="n">
        <f aca="false">IF(J221="UNKNOWN","",INDEX(Items!$F$2:$F$500,MATCH(I221,Items!$H$2:$H$500,0)))</f>
        <v>1240</v>
      </c>
      <c r="L221" s="24" t="n">
        <f aca="false">IF(ISNUMBER(H221),G221*H221,"")</f>
        <v>1144.44</v>
      </c>
      <c r="M221" s="28" t="n">
        <f aca="false">IF(ISNUMBER(H221),G221,0)</f>
        <v>1</v>
      </c>
      <c r="N221" s="31" t="n">
        <f aca="false">IF(AND(ISNUMBER(H221),ISNUMBER(K221)),1-H221/K221,"")</f>
        <v>0.0770645161290322</v>
      </c>
      <c r="O221" s="24" t="n">
        <f aca="false">IF(J221="UNKNOWN","",INDEX(Cost_Rollup!$F$5:$F$16,MATCH(I221,Cost_Rollup!$A$5:$A$16,0)))</f>
        <v>753.4208</v>
      </c>
      <c r="P221" s="24" t="n">
        <f aca="false">IF(AND(ISNUMBER(L221),ISNUMBER(O221)),G221*O221,"")</f>
        <v>753.4208</v>
      </c>
      <c r="Q221" s="15" t="str">
        <f aca="false">IF(H221="","Missing price; ","")&amp;IF(J221="UNKNOWN","Unknown item; ","")&amp;IF(AND(ISNUMBER(N221),N221&gt;Discount_Threshold),"Discount above limit; ","")</f>
        <v/>
      </c>
      <c r="R221" s="15" t="str">
        <f aca="false">IF(Q221="","OK","CHECK")</f>
        <v>OK</v>
      </c>
    </row>
    <row r="222" customFormat="false" ht="15" hidden="false" customHeight="false" outlineLevel="0" collapsed="false">
      <c r="A222" s="12" t="s">
        <v>492</v>
      </c>
      <c r="B222" s="30" t="n">
        <v>45965</v>
      </c>
      <c r="C222" s="12" t="s">
        <v>273</v>
      </c>
      <c r="D222" s="12" t="s">
        <v>274</v>
      </c>
      <c r="E222" s="12" t="s">
        <v>147</v>
      </c>
      <c r="F222" s="12" t="s">
        <v>122</v>
      </c>
      <c r="G222" s="23" t="n">
        <v>10</v>
      </c>
      <c r="H222" s="22" t="n">
        <v>622.58</v>
      </c>
      <c r="I222" s="15" t="str">
        <f aca="false">UPPER(TRIM(F222))</f>
        <v>PC-CB-0600</v>
      </c>
      <c r="J222" s="15" t="str">
        <f aca="false">IFERROR(INDEX(Items!$C$2:$C$500,MATCH(I222,Items!$H$2:$H$500,0)),"UNKNOWN")</f>
        <v>Catch Basin</v>
      </c>
      <c r="K222" s="24" t="n">
        <f aca="false">IF(J222="UNKNOWN","",INDEX(Items!$F$2:$F$500,MATCH(I222,Items!$H$2:$H$500,0)))</f>
        <v>690</v>
      </c>
      <c r="L222" s="24" t="n">
        <f aca="false">IF(ISNUMBER(H222),G222*H222,"")</f>
        <v>6225.8</v>
      </c>
      <c r="M222" s="28" t="n">
        <f aca="false">IF(ISNUMBER(H222),G222,0)</f>
        <v>10</v>
      </c>
      <c r="N222" s="31" t="n">
        <f aca="false">IF(AND(ISNUMBER(H222),ISNUMBER(K222)),1-H222/K222,"")</f>
        <v>0.0977101449275362</v>
      </c>
      <c r="O222" s="24" t="n">
        <f aca="false">IF(J222="UNKNOWN","",INDEX(Cost_Rollup!$F$5:$F$16,MATCH(I222,Cost_Rollup!$A$5:$A$16,0)))</f>
        <v>471.0488</v>
      </c>
      <c r="P222" s="24" t="n">
        <f aca="false">IF(AND(ISNUMBER(L222),ISNUMBER(O222)),G222*O222,"")</f>
        <v>4710.488</v>
      </c>
      <c r="Q222" s="15" t="str">
        <f aca="false">IF(H222="","Missing price; ","")&amp;IF(J222="UNKNOWN","Unknown item; ","")&amp;IF(AND(ISNUMBER(N222),N222&gt;Discount_Threshold),"Discount above limit; ","")</f>
        <v/>
      </c>
      <c r="R222" s="15" t="str">
        <f aca="false">IF(Q222="","OK","CHECK")</f>
        <v>OK</v>
      </c>
    </row>
    <row r="223" customFormat="false" ht="15" hidden="false" customHeight="false" outlineLevel="0" collapsed="false">
      <c r="A223" s="12" t="s">
        <v>493</v>
      </c>
      <c r="B223" s="30" t="n">
        <v>45965</v>
      </c>
      <c r="C223" s="12" t="s">
        <v>263</v>
      </c>
      <c r="D223" s="12" t="s">
        <v>258</v>
      </c>
      <c r="E223" s="12" t="s">
        <v>70</v>
      </c>
      <c r="F223" s="12" t="s">
        <v>131</v>
      </c>
      <c r="G223" s="23" t="n">
        <v>169</v>
      </c>
      <c r="H223" s="22" t="n">
        <v>110.13</v>
      </c>
      <c r="I223" s="15" t="str">
        <f aca="false">UPPER(TRIM(F223))</f>
        <v>PC-HC-200</v>
      </c>
      <c r="J223" s="15" t="str">
        <f aca="false">IFERROR(INDEX(Items!$C$2:$C$500,MATCH(I223,Items!$H$2:$H$500,0)),"UNKNOWN")</f>
        <v>Slab</v>
      </c>
      <c r="K223" s="24" t="n">
        <f aca="false">IF(J223="UNKNOWN","",INDEX(Items!$F$2:$F$500,MATCH(I223,Items!$H$2:$H$500,0)))</f>
        <v>118</v>
      </c>
      <c r="L223" s="24" t="n">
        <f aca="false">IF(ISNUMBER(H223),G223*H223,"")</f>
        <v>18611.97</v>
      </c>
      <c r="M223" s="28" t="n">
        <f aca="false">IF(ISNUMBER(H223),G223,0)</f>
        <v>169</v>
      </c>
      <c r="N223" s="31" t="n">
        <f aca="false">IF(AND(ISNUMBER(H223),ISNUMBER(K223)),1-H223/K223,"")</f>
        <v>0.0666949152542373</v>
      </c>
      <c r="O223" s="24" t="n">
        <f aca="false">IF(J223="UNKNOWN","",INDEX(Cost_Rollup!$F$5:$F$16,MATCH(I223,Cost_Rollup!$A$5:$A$16,0)))</f>
        <v>78.89382</v>
      </c>
      <c r="P223" s="24" t="n">
        <f aca="false">IF(AND(ISNUMBER(L223),ISNUMBER(O223)),G223*O223,"")</f>
        <v>13333.05558</v>
      </c>
      <c r="Q223" s="15" t="str">
        <f aca="false">IF(H223="","Missing price; ","")&amp;IF(J223="UNKNOWN","Unknown item; ","")&amp;IF(AND(ISNUMBER(N223),N223&gt;Discount_Threshold),"Discount above limit; ","")</f>
        <v/>
      </c>
      <c r="R223" s="15" t="str">
        <f aca="false">IF(Q223="","OK","CHECK")</f>
        <v>OK</v>
      </c>
    </row>
    <row r="224" customFormat="false" ht="15" hidden="false" customHeight="false" outlineLevel="0" collapsed="false">
      <c r="A224" s="12" t="s">
        <v>494</v>
      </c>
      <c r="B224" s="30" t="n">
        <v>45966</v>
      </c>
      <c r="C224" s="12" t="s">
        <v>260</v>
      </c>
      <c r="D224" s="12" t="s">
        <v>258</v>
      </c>
      <c r="E224" s="12" t="s">
        <v>70</v>
      </c>
      <c r="F224" s="12" t="s">
        <v>110</v>
      </c>
      <c r="G224" s="23" t="n">
        <v>21</v>
      </c>
      <c r="H224" s="22" t="n">
        <v>1711.06</v>
      </c>
      <c r="I224" s="15" t="str">
        <f aca="false">UPPER(TRIM(F224))</f>
        <v>PC-RCP-1200</v>
      </c>
      <c r="J224" s="15" t="str">
        <f aca="false">IFERROR(INDEX(Items!$C$2:$C$500,MATCH(I224,Items!$H$2:$H$500,0)),"UNKNOWN")</f>
        <v>Pipe</v>
      </c>
      <c r="K224" s="24" t="n">
        <f aca="false">IF(J224="UNKNOWN","",INDEX(Items!$F$2:$F$500,MATCH(I224,Items!$H$2:$H$500,0)))</f>
        <v>1890</v>
      </c>
      <c r="L224" s="24" t="n">
        <f aca="false">IF(ISNUMBER(H224),G224*H224,"")</f>
        <v>35932.26</v>
      </c>
      <c r="M224" s="28" t="n">
        <f aca="false">IF(ISNUMBER(H224),G224,0)</f>
        <v>21</v>
      </c>
      <c r="N224" s="31" t="n">
        <f aca="false">IF(AND(ISNUMBER(H224),ISNUMBER(K224)),1-H224/K224,"")</f>
        <v>0.0946772486772487</v>
      </c>
      <c r="O224" s="24" t="n">
        <f aca="false">IF(J224="UNKNOWN","",INDEX(Cost_Rollup!$F$5:$F$16,MATCH(I224,Cost_Rollup!$A$5:$A$16,0)))</f>
        <v>1206.4054</v>
      </c>
      <c r="P224" s="24" t="n">
        <f aca="false">IF(AND(ISNUMBER(L224),ISNUMBER(O224)),G224*O224,"")</f>
        <v>25334.5134</v>
      </c>
      <c r="Q224" s="15" t="str">
        <f aca="false">IF(H224="","Missing price; ","")&amp;IF(J224="UNKNOWN","Unknown item; ","")&amp;IF(AND(ISNUMBER(N224),N224&gt;Discount_Threshold),"Discount above limit; ","")</f>
        <v/>
      </c>
      <c r="R224" s="15" t="str">
        <f aca="false">IF(Q224="","OK","CHECK")</f>
        <v>OK</v>
      </c>
    </row>
    <row r="225" customFormat="false" ht="15" hidden="false" customHeight="false" outlineLevel="0" collapsed="false">
      <c r="A225" s="12" t="s">
        <v>495</v>
      </c>
      <c r="B225" s="30" t="n">
        <v>45966</v>
      </c>
      <c r="C225" s="12" t="s">
        <v>265</v>
      </c>
      <c r="D225" s="12" t="s">
        <v>266</v>
      </c>
      <c r="E225" s="12" t="s">
        <v>70</v>
      </c>
      <c r="F225" s="12" t="s">
        <v>110</v>
      </c>
      <c r="G225" s="23" t="n">
        <v>13</v>
      </c>
      <c r="H225" s="22" t="n">
        <v>1779.13</v>
      </c>
      <c r="I225" s="15" t="str">
        <f aca="false">UPPER(TRIM(F225))</f>
        <v>PC-RCP-1200</v>
      </c>
      <c r="J225" s="15" t="str">
        <f aca="false">IFERROR(INDEX(Items!$C$2:$C$500,MATCH(I225,Items!$H$2:$H$500,0)),"UNKNOWN")</f>
        <v>Pipe</v>
      </c>
      <c r="K225" s="24" t="n">
        <f aca="false">IF(J225="UNKNOWN","",INDEX(Items!$F$2:$F$500,MATCH(I225,Items!$H$2:$H$500,0)))</f>
        <v>1890</v>
      </c>
      <c r="L225" s="24" t="n">
        <f aca="false">IF(ISNUMBER(H225),G225*H225,"")</f>
        <v>23128.69</v>
      </c>
      <c r="M225" s="28" t="n">
        <f aca="false">IF(ISNUMBER(H225),G225,0)</f>
        <v>13</v>
      </c>
      <c r="N225" s="31" t="n">
        <f aca="false">IF(AND(ISNUMBER(H225),ISNUMBER(K225)),1-H225/K225,"")</f>
        <v>0.0586613756613756</v>
      </c>
      <c r="O225" s="24" t="n">
        <f aca="false">IF(J225="UNKNOWN","",INDEX(Cost_Rollup!$F$5:$F$16,MATCH(I225,Cost_Rollup!$A$5:$A$16,0)))</f>
        <v>1206.4054</v>
      </c>
      <c r="P225" s="24" t="n">
        <f aca="false">IF(AND(ISNUMBER(L225),ISNUMBER(O225)),G225*O225,"")</f>
        <v>15683.2702</v>
      </c>
      <c r="Q225" s="15" t="str">
        <f aca="false">IF(H225="","Missing price; ","")&amp;IF(J225="UNKNOWN","Unknown item; ","")&amp;IF(AND(ISNUMBER(N225),N225&gt;Discount_Threshold),"Discount above limit; ","")</f>
        <v/>
      </c>
      <c r="R225" s="15" t="str">
        <f aca="false">IF(Q225="","OK","CHECK")</f>
        <v>OK</v>
      </c>
    </row>
    <row r="226" customFormat="false" ht="15" hidden="false" customHeight="false" outlineLevel="0" collapsed="false">
      <c r="A226" s="12" t="s">
        <v>496</v>
      </c>
      <c r="B226" s="30" t="n">
        <v>45966</v>
      </c>
      <c r="C226" s="12" t="s">
        <v>263</v>
      </c>
      <c r="D226" s="12" t="s">
        <v>258</v>
      </c>
      <c r="E226" s="12" t="s">
        <v>70</v>
      </c>
      <c r="F226" s="12" t="s">
        <v>135</v>
      </c>
      <c r="G226" s="23" t="n">
        <v>383</v>
      </c>
      <c r="H226" s="22" t="n">
        <v>133.07</v>
      </c>
      <c r="I226" s="15" t="str">
        <f aca="false">UPPER(TRIM(F226))</f>
        <v>PC-HC-250</v>
      </c>
      <c r="J226" s="15" t="str">
        <f aca="false">IFERROR(INDEX(Items!$C$2:$C$500,MATCH(I226,Items!$H$2:$H$500,0)),"UNKNOWN")</f>
        <v>Slab</v>
      </c>
      <c r="K226" s="24" t="n">
        <f aca="false">IF(J226="UNKNOWN","",INDEX(Items!$F$2:$F$500,MATCH(I226,Items!$H$2:$H$500,0)))</f>
        <v>136</v>
      </c>
      <c r="L226" s="24" t="n">
        <f aca="false">IF(ISNUMBER(H226),G226*H226,"")</f>
        <v>50965.81</v>
      </c>
      <c r="M226" s="28" t="n">
        <f aca="false">IF(ISNUMBER(H226),G226,0)</f>
        <v>383</v>
      </c>
      <c r="N226" s="31" t="n">
        <f aca="false">IF(AND(ISNUMBER(H226),ISNUMBER(K226)),1-H226/K226,"")</f>
        <v>0.0215441176470589</v>
      </c>
      <c r="O226" s="24" t="n">
        <f aca="false">IF(J226="UNKNOWN","",INDEX(Cost_Rollup!$F$5:$F$16,MATCH(I226,Cost_Rollup!$A$5:$A$16,0)))</f>
        <v>92.94024</v>
      </c>
      <c r="P226" s="24" t="n">
        <f aca="false">IF(AND(ISNUMBER(L226),ISNUMBER(O226)),G226*O226,"")</f>
        <v>35596.11192</v>
      </c>
      <c r="Q226" s="15" t="str">
        <f aca="false">IF(H226="","Missing price; ","")&amp;IF(J226="UNKNOWN","Unknown item; ","")&amp;IF(AND(ISNUMBER(N226),N226&gt;Discount_Threshold),"Discount above limit; ","")</f>
        <v/>
      </c>
      <c r="R226" s="15" t="str">
        <f aca="false">IF(Q226="","OK","CHECK")</f>
        <v>OK</v>
      </c>
    </row>
    <row r="227" customFormat="false" ht="15" hidden="false" customHeight="false" outlineLevel="0" collapsed="false">
      <c r="A227" s="12" t="s">
        <v>497</v>
      </c>
      <c r="B227" s="30" t="n">
        <v>45969</v>
      </c>
      <c r="C227" s="12" t="s">
        <v>276</v>
      </c>
      <c r="D227" s="12" t="s">
        <v>277</v>
      </c>
      <c r="E227" s="12" t="s">
        <v>70</v>
      </c>
      <c r="F227" s="12" t="s">
        <v>115</v>
      </c>
      <c r="G227" s="23" t="n">
        <v>2</v>
      </c>
      <c r="H227" s="22" t="n">
        <v>939.32</v>
      </c>
      <c r="I227" s="15" t="str">
        <f aca="false">UPPER(TRIM(F227))</f>
        <v>PC-MH-1050B</v>
      </c>
      <c r="J227" s="15" t="str">
        <f aca="false">IFERROR(INDEX(Items!$C$2:$C$500,MATCH(I227,Items!$H$2:$H$500,0)),"UNKNOWN")</f>
        <v>Manhole</v>
      </c>
      <c r="K227" s="24" t="n">
        <f aca="false">IF(J227="UNKNOWN","",INDEX(Items!$F$2:$F$500,MATCH(I227,Items!$H$2:$H$500,0)))</f>
        <v>980</v>
      </c>
      <c r="L227" s="24" t="n">
        <f aca="false">IF(ISNUMBER(H227),G227*H227,"")</f>
        <v>1878.64</v>
      </c>
      <c r="M227" s="28" t="n">
        <f aca="false">IF(ISNUMBER(H227),G227,0)</f>
        <v>2</v>
      </c>
      <c r="N227" s="31" t="n">
        <f aca="false">IF(AND(ISNUMBER(H227),ISNUMBER(K227)),1-H227/K227,"")</f>
        <v>0.0415102040816326</v>
      </c>
      <c r="O227" s="24" t="n">
        <f aca="false">IF(J227="UNKNOWN","",INDEX(Cost_Rollup!$F$5:$F$16,MATCH(I227,Cost_Rollup!$A$5:$A$16,0)))</f>
        <v>635.433</v>
      </c>
      <c r="P227" s="24" t="n">
        <f aca="false">IF(AND(ISNUMBER(L227),ISNUMBER(O227)),G227*O227,"")</f>
        <v>1270.866</v>
      </c>
      <c r="Q227" s="15" t="str">
        <f aca="false">IF(H227="","Missing price; ","")&amp;IF(J227="UNKNOWN","Unknown item; ","")&amp;IF(AND(ISNUMBER(N227),N227&gt;Discount_Threshold),"Discount above limit; ","")</f>
        <v/>
      </c>
      <c r="R227" s="15" t="str">
        <f aca="false">IF(Q227="","OK","CHECK")</f>
        <v>OK</v>
      </c>
    </row>
    <row r="228" customFormat="false" ht="15" hidden="false" customHeight="false" outlineLevel="0" collapsed="false">
      <c r="A228" s="12" t="s">
        <v>498</v>
      </c>
      <c r="B228" s="30" t="n">
        <v>45970</v>
      </c>
      <c r="C228" s="12" t="s">
        <v>279</v>
      </c>
      <c r="D228" s="12" t="s">
        <v>280</v>
      </c>
      <c r="E228" s="12" t="s">
        <v>147</v>
      </c>
      <c r="F228" s="12" t="s">
        <v>120</v>
      </c>
      <c r="G228" s="23" t="n">
        <v>5</v>
      </c>
      <c r="H228" s="22" t="n">
        <v>529.48</v>
      </c>
      <c r="I228" s="15" t="str">
        <f aca="false">UPPER(TRIM(F228))</f>
        <v>PC-MH-1200R</v>
      </c>
      <c r="J228" s="15" t="str">
        <f aca="false">IFERROR(INDEX(Items!$C$2:$C$500,MATCH(I228,Items!$H$2:$H$500,0)),"UNKNOWN")</f>
        <v>Manhole</v>
      </c>
      <c r="K228" s="24" t="n">
        <f aca="false">IF(J228="UNKNOWN","",INDEX(Items!$F$2:$F$500,MATCH(I228,Items!$H$2:$H$500,0)))</f>
        <v>520</v>
      </c>
      <c r="L228" s="24" t="n">
        <f aca="false">IF(ISNUMBER(H228),G228*H228,"")</f>
        <v>2647.4</v>
      </c>
      <c r="M228" s="28" t="n">
        <f aca="false">IF(ISNUMBER(H228),G228,0)</f>
        <v>5</v>
      </c>
      <c r="N228" s="31" t="n">
        <f aca="false">IF(AND(ISNUMBER(H228),ISNUMBER(K228)),1-H228/K228,"")</f>
        <v>-0.0182307692307693</v>
      </c>
      <c r="O228" s="24" t="n">
        <f aca="false">IF(J228="UNKNOWN","",INDEX(Cost_Rollup!$F$5:$F$16,MATCH(I228,Cost_Rollup!$A$5:$A$16,0)))</f>
        <v>381.98428</v>
      </c>
      <c r="P228" s="24" t="n">
        <f aca="false">IF(AND(ISNUMBER(L228),ISNUMBER(O228)),G228*O228,"")</f>
        <v>1909.9214</v>
      </c>
      <c r="Q228" s="15" t="str">
        <f aca="false">IF(H228="","Missing price; ","")&amp;IF(J228="UNKNOWN","Unknown item; ","")&amp;IF(AND(ISNUMBER(N228),N228&gt;Discount_Threshold),"Discount above limit; ","")</f>
        <v/>
      </c>
      <c r="R228" s="15" t="str">
        <f aca="false">IF(Q228="","OK","CHECK")</f>
        <v>OK</v>
      </c>
    </row>
    <row r="229" customFormat="false" ht="15" hidden="false" customHeight="false" outlineLevel="0" collapsed="false">
      <c r="A229" s="12" t="s">
        <v>499</v>
      </c>
      <c r="B229" s="30" t="n">
        <v>45970</v>
      </c>
      <c r="C229" s="12" t="s">
        <v>257</v>
      </c>
      <c r="D229" s="12" t="s">
        <v>258</v>
      </c>
      <c r="E229" s="12" t="s">
        <v>70</v>
      </c>
      <c r="F229" s="12" t="s">
        <v>131</v>
      </c>
      <c r="G229" s="23" t="n">
        <v>304</v>
      </c>
      <c r="H229" s="22" t="n">
        <v>122.61</v>
      </c>
      <c r="I229" s="15" t="str">
        <f aca="false">UPPER(TRIM(F229))</f>
        <v>PC-HC-200</v>
      </c>
      <c r="J229" s="15" t="str">
        <f aca="false">IFERROR(INDEX(Items!$C$2:$C$500,MATCH(I229,Items!$H$2:$H$500,0)),"UNKNOWN")</f>
        <v>Slab</v>
      </c>
      <c r="K229" s="24" t="n">
        <f aca="false">IF(J229="UNKNOWN","",INDEX(Items!$F$2:$F$500,MATCH(I229,Items!$H$2:$H$500,0)))</f>
        <v>118</v>
      </c>
      <c r="L229" s="24" t="n">
        <f aca="false">IF(ISNUMBER(H229),G229*H229,"")</f>
        <v>37273.44</v>
      </c>
      <c r="M229" s="28" t="n">
        <f aca="false">IF(ISNUMBER(H229),G229,0)</f>
        <v>304</v>
      </c>
      <c r="N229" s="31" t="n">
        <f aca="false">IF(AND(ISNUMBER(H229),ISNUMBER(K229)),1-H229/K229,"")</f>
        <v>-0.0390677966101696</v>
      </c>
      <c r="O229" s="24" t="n">
        <f aca="false">IF(J229="UNKNOWN","",INDEX(Cost_Rollup!$F$5:$F$16,MATCH(I229,Cost_Rollup!$A$5:$A$16,0)))</f>
        <v>78.89382</v>
      </c>
      <c r="P229" s="24" t="n">
        <f aca="false">IF(AND(ISNUMBER(L229),ISNUMBER(O229)),G229*O229,"")</f>
        <v>23983.72128</v>
      </c>
      <c r="Q229" s="15" t="str">
        <f aca="false">IF(H229="","Missing price; ","")&amp;IF(J229="UNKNOWN","Unknown item; ","")&amp;IF(AND(ISNUMBER(N229),N229&gt;Discount_Threshold),"Discount above limit; ","")</f>
        <v/>
      </c>
      <c r="R229" s="15" t="str">
        <f aca="false">IF(Q229="","OK","CHECK")</f>
        <v>OK</v>
      </c>
    </row>
    <row r="230" customFormat="false" ht="15" hidden="false" customHeight="false" outlineLevel="0" collapsed="false">
      <c r="A230" s="12" t="s">
        <v>500</v>
      </c>
      <c r="B230" s="30" t="n">
        <v>45973</v>
      </c>
      <c r="C230" s="12" t="s">
        <v>285</v>
      </c>
      <c r="D230" s="12" t="s">
        <v>266</v>
      </c>
      <c r="E230" s="12" t="s">
        <v>70</v>
      </c>
      <c r="F230" s="12" t="s">
        <v>103</v>
      </c>
      <c r="G230" s="23" t="n">
        <v>16</v>
      </c>
      <c r="H230" s="22" t="n">
        <v>604.32</v>
      </c>
      <c r="I230" s="15" t="str">
        <f aca="false">UPPER(TRIM(F230))</f>
        <v>PC-RCP-0600</v>
      </c>
      <c r="J230" s="15" t="str">
        <f aca="false">IFERROR(INDEX(Items!$C$2:$C$500,MATCH(I230,Items!$H$2:$H$500,0)),"UNKNOWN")</f>
        <v>Pipe</v>
      </c>
      <c r="K230" s="24" t="n">
        <f aca="false">IF(J230="UNKNOWN","",INDEX(Items!$F$2:$F$500,MATCH(I230,Items!$H$2:$H$500,0)))</f>
        <v>640</v>
      </c>
      <c r="L230" s="24" t="n">
        <f aca="false">IF(ISNUMBER(H230),G230*H230,"")</f>
        <v>9669.12</v>
      </c>
      <c r="M230" s="28" t="n">
        <f aca="false">IF(ISNUMBER(H230),G230,0)</f>
        <v>16</v>
      </c>
      <c r="N230" s="31" t="n">
        <f aca="false">IF(AND(ISNUMBER(H230),ISNUMBER(K230)),1-H230/K230,"")</f>
        <v>0.05575</v>
      </c>
      <c r="O230" s="24" t="n">
        <f aca="false">IF(J230="UNKNOWN","",INDEX(Cost_Rollup!$F$5:$F$16,MATCH(I230,Cost_Rollup!$A$5:$A$16,0)))</f>
        <v>429.94832</v>
      </c>
      <c r="P230" s="24" t="n">
        <f aca="false">IF(AND(ISNUMBER(L230),ISNUMBER(O230)),G230*O230,"")</f>
        <v>6879.17312</v>
      </c>
      <c r="Q230" s="15" t="str">
        <f aca="false">IF(H230="","Missing price; ","")&amp;IF(J230="UNKNOWN","Unknown item; ","")&amp;IF(AND(ISNUMBER(N230),N230&gt;Discount_Threshold),"Discount above limit; ","")</f>
        <v/>
      </c>
      <c r="R230" s="15" t="str">
        <f aca="false">IF(Q230="","OK","CHECK")</f>
        <v>OK</v>
      </c>
    </row>
    <row r="231" customFormat="false" ht="15" hidden="false" customHeight="false" outlineLevel="0" collapsed="false">
      <c r="A231" s="12" t="s">
        <v>501</v>
      </c>
      <c r="B231" s="30" t="n">
        <v>45979</v>
      </c>
      <c r="C231" s="12" t="s">
        <v>263</v>
      </c>
      <c r="D231" s="12" t="s">
        <v>258</v>
      </c>
      <c r="E231" s="12" t="s">
        <v>70</v>
      </c>
      <c r="F231" s="12" t="s">
        <v>122</v>
      </c>
      <c r="G231" s="23" t="n">
        <v>6</v>
      </c>
      <c r="H231" s="22" t="n">
        <v>627.89</v>
      </c>
      <c r="I231" s="15" t="str">
        <f aca="false">UPPER(TRIM(F231))</f>
        <v>PC-CB-0600</v>
      </c>
      <c r="J231" s="15" t="str">
        <f aca="false">IFERROR(INDEX(Items!$C$2:$C$500,MATCH(I231,Items!$H$2:$H$500,0)),"UNKNOWN")</f>
        <v>Catch Basin</v>
      </c>
      <c r="K231" s="24" t="n">
        <f aca="false">IF(J231="UNKNOWN","",INDEX(Items!$F$2:$F$500,MATCH(I231,Items!$H$2:$H$500,0)))</f>
        <v>690</v>
      </c>
      <c r="L231" s="24" t="n">
        <f aca="false">IF(ISNUMBER(H231),G231*H231,"")</f>
        <v>3767.34</v>
      </c>
      <c r="M231" s="28" t="n">
        <f aca="false">IF(ISNUMBER(H231),G231,0)</f>
        <v>6</v>
      </c>
      <c r="N231" s="31" t="n">
        <f aca="false">IF(AND(ISNUMBER(H231),ISNUMBER(K231)),1-H231/K231,"")</f>
        <v>0.0900144927536232</v>
      </c>
      <c r="O231" s="24" t="n">
        <f aca="false">IF(J231="UNKNOWN","",INDEX(Cost_Rollup!$F$5:$F$16,MATCH(I231,Cost_Rollup!$A$5:$A$16,0)))</f>
        <v>471.0488</v>
      </c>
      <c r="P231" s="24" t="n">
        <f aca="false">IF(AND(ISNUMBER(L231),ISNUMBER(O231)),G231*O231,"")</f>
        <v>2826.2928</v>
      </c>
      <c r="Q231" s="15" t="str">
        <f aca="false">IF(H231="","Missing price; ","")&amp;IF(J231="UNKNOWN","Unknown item; ","")&amp;IF(AND(ISNUMBER(N231),N231&gt;Discount_Threshold),"Discount above limit; ","")</f>
        <v/>
      </c>
      <c r="R231" s="15" t="str">
        <f aca="false">IF(Q231="","OK","CHECK")</f>
        <v>OK</v>
      </c>
    </row>
    <row r="232" customFormat="false" ht="15" hidden="false" customHeight="false" outlineLevel="0" collapsed="false">
      <c r="A232" s="12" t="s">
        <v>502</v>
      </c>
      <c r="B232" s="30" t="n">
        <v>45979</v>
      </c>
      <c r="C232" s="12" t="s">
        <v>273</v>
      </c>
      <c r="D232" s="12" t="s">
        <v>274</v>
      </c>
      <c r="E232" s="12" t="s">
        <v>147</v>
      </c>
      <c r="F232" s="12" t="s">
        <v>122</v>
      </c>
      <c r="G232" s="23" t="n">
        <v>4</v>
      </c>
      <c r="H232" s="22" t="n">
        <v>663.06</v>
      </c>
      <c r="I232" s="15" t="str">
        <f aca="false">UPPER(TRIM(F232))</f>
        <v>PC-CB-0600</v>
      </c>
      <c r="J232" s="15" t="str">
        <f aca="false">IFERROR(INDEX(Items!$C$2:$C$500,MATCH(I232,Items!$H$2:$H$500,0)),"UNKNOWN")</f>
        <v>Catch Basin</v>
      </c>
      <c r="K232" s="24" t="n">
        <f aca="false">IF(J232="UNKNOWN","",INDEX(Items!$F$2:$F$500,MATCH(I232,Items!$H$2:$H$500,0)))</f>
        <v>690</v>
      </c>
      <c r="L232" s="24" t="n">
        <f aca="false">IF(ISNUMBER(H232),G232*H232,"")</f>
        <v>2652.24</v>
      </c>
      <c r="M232" s="28" t="n">
        <f aca="false">IF(ISNUMBER(H232),G232,0)</f>
        <v>4</v>
      </c>
      <c r="N232" s="31" t="n">
        <f aca="false">IF(AND(ISNUMBER(H232),ISNUMBER(K232)),1-H232/K232,"")</f>
        <v>0.0390434782608696</v>
      </c>
      <c r="O232" s="24" t="n">
        <f aca="false">IF(J232="UNKNOWN","",INDEX(Cost_Rollup!$F$5:$F$16,MATCH(I232,Cost_Rollup!$A$5:$A$16,0)))</f>
        <v>471.0488</v>
      </c>
      <c r="P232" s="24" t="n">
        <f aca="false">IF(AND(ISNUMBER(L232),ISNUMBER(O232)),G232*O232,"")</f>
        <v>1884.1952</v>
      </c>
      <c r="Q232" s="15" t="str">
        <f aca="false">IF(H232="","Missing price; ","")&amp;IF(J232="UNKNOWN","Unknown item; ","")&amp;IF(AND(ISNUMBER(N232),N232&gt;Discount_Threshold),"Discount above limit; ","")</f>
        <v/>
      </c>
      <c r="R232" s="15" t="str">
        <f aca="false">IF(Q232="","OK","CHECK")</f>
        <v>OK</v>
      </c>
    </row>
    <row r="233" customFormat="false" ht="15" hidden="false" customHeight="false" outlineLevel="0" collapsed="false">
      <c r="A233" s="12" t="s">
        <v>503</v>
      </c>
      <c r="B233" s="30" t="n">
        <v>45979</v>
      </c>
      <c r="C233" s="12" t="s">
        <v>268</v>
      </c>
      <c r="D233" s="12" t="s">
        <v>269</v>
      </c>
      <c r="E233" s="12" t="s">
        <v>70</v>
      </c>
      <c r="F233" s="12" t="s">
        <v>118</v>
      </c>
      <c r="G233" s="23" t="n">
        <v>7</v>
      </c>
      <c r="H233" s="22" t="n">
        <v>1264.92</v>
      </c>
      <c r="I233" s="15" t="str">
        <f aca="false">UPPER(TRIM(F233))</f>
        <v>PC-MH-1200B</v>
      </c>
      <c r="J233" s="15" t="str">
        <f aca="false">IFERROR(INDEX(Items!$C$2:$C$500,MATCH(I233,Items!$H$2:$H$500,0)),"UNKNOWN")</f>
        <v>Manhole</v>
      </c>
      <c r="K233" s="24" t="n">
        <f aca="false">IF(J233="UNKNOWN","",INDEX(Items!$F$2:$F$500,MATCH(I233,Items!$H$2:$H$500,0)))</f>
        <v>1240</v>
      </c>
      <c r="L233" s="24" t="n">
        <f aca="false">IF(ISNUMBER(H233),G233*H233,"")</f>
        <v>8854.44</v>
      </c>
      <c r="M233" s="28" t="n">
        <f aca="false">IF(ISNUMBER(H233),G233,0)</f>
        <v>7</v>
      </c>
      <c r="N233" s="31" t="n">
        <f aca="false">IF(AND(ISNUMBER(H233),ISNUMBER(K233)),1-H233/K233,"")</f>
        <v>-0.0200967741935485</v>
      </c>
      <c r="O233" s="24" t="n">
        <f aca="false">IF(J233="UNKNOWN","",INDEX(Cost_Rollup!$F$5:$F$16,MATCH(I233,Cost_Rollup!$A$5:$A$16,0)))</f>
        <v>753.4208</v>
      </c>
      <c r="P233" s="24" t="n">
        <f aca="false">IF(AND(ISNUMBER(L233),ISNUMBER(O233)),G233*O233,"")</f>
        <v>5273.9456</v>
      </c>
      <c r="Q233" s="15" t="str">
        <f aca="false">IF(H233="","Missing price; ","")&amp;IF(J233="UNKNOWN","Unknown item; ","")&amp;IF(AND(ISNUMBER(N233),N233&gt;Discount_Threshold),"Discount above limit; ","")</f>
        <v/>
      </c>
      <c r="R233" s="15" t="str">
        <f aca="false">IF(Q233="","OK","CHECK")</f>
        <v>OK</v>
      </c>
    </row>
    <row r="234" customFormat="false" ht="15" hidden="false" customHeight="false" outlineLevel="0" collapsed="false">
      <c r="A234" s="12" t="s">
        <v>504</v>
      </c>
      <c r="B234" s="30" t="n">
        <v>45981</v>
      </c>
      <c r="C234" s="12" t="s">
        <v>279</v>
      </c>
      <c r="D234" s="12" t="s">
        <v>280</v>
      </c>
      <c r="E234" s="12" t="s">
        <v>147</v>
      </c>
      <c r="F234" s="12" t="s">
        <v>125</v>
      </c>
      <c r="G234" s="23" t="n">
        <v>6</v>
      </c>
      <c r="H234" s="22" t="n">
        <v>1366.03</v>
      </c>
      <c r="I234" s="15" t="str">
        <f aca="false">UPPER(TRIM(F234))</f>
        <v>PC-BAR-F38</v>
      </c>
      <c r="J234" s="15" t="str">
        <f aca="false">IFERROR(INDEX(Items!$C$2:$C$500,MATCH(I234,Items!$H$2:$H$500,0)),"UNKNOWN")</f>
        <v>Barrier</v>
      </c>
      <c r="K234" s="24" t="n">
        <f aca="false">IF(J234="UNKNOWN","",INDEX(Items!$F$2:$F$500,MATCH(I234,Items!$H$2:$H$500,0)))</f>
        <v>1450</v>
      </c>
      <c r="L234" s="24" t="n">
        <f aca="false">IF(ISNUMBER(H234),G234*H234,"")</f>
        <v>8196.18</v>
      </c>
      <c r="M234" s="28" t="n">
        <f aca="false">IF(ISNUMBER(H234),G234,0)</f>
        <v>6</v>
      </c>
      <c r="N234" s="31" t="n">
        <f aca="false">IF(AND(ISNUMBER(H234),ISNUMBER(K234)),1-H234/K234,"")</f>
        <v>0.0579103448275863</v>
      </c>
      <c r="O234" s="24" t="n">
        <f aca="false">IF(J234="UNKNOWN","",INDEX(Cost_Rollup!$F$5:$F$16,MATCH(I234,Cost_Rollup!$A$5:$A$16,0)))</f>
        <v>978.66328</v>
      </c>
      <c r="P234" s="24" t="n">
        <f aca="false">IF(AND(ISNUMBER(L234),ISNUMBER(O234)),G234*O234,"")</f>
        <v>5871.97968</v>
      </c>
      <c r="Q234" s="15" t="str">
        <f aca="false">IF(H234="","Missing price; ","")&amp;IF(J234="UNKNOWN","Unknown item; ","")&amp;IF(AND(ISNUMBER(N234),N234&gt;Discount_Threshold),"Discount above limit; ","")</f>
        <v/>
      </c>
      <c r="R234" s="15" t="str">
        <f aca="false">IF(Q234="","OK","CHECK")</f>
        <v>OK</v>
      </c>
    </row>
    <row r="235" customFormat="false" ht="15" hidden="false" customHeight="false" outlineLevel="0" collapsed="false">
      <c r="A235" s="12" t="s">
        <v>505</v>
      </c>
      <c r="B235" s="30" t="n">
        <v>45981</v>
      </c>
      <c r="C235" s="12" t="s">
        <v>292</v>
      </c>
      <c r="D235" s="12" t="s">
        <v>277</v>
      </c>
      <c r="E235" s="12" t="s">
        <v>70</v>
      </c>
      <c r="F235" s="12" t="s">
        <v>506</v>
      </c>
      <c r="G235" s="23" t="n">
        <v>11</v>
      </c>
      <c r="H235" s="22" t="n">
        <v>1744.55</v>
      </c>
      <c r="I235" s="15" t="str">
        <f aca="false">UPPER(TRIM(F235))</f>
        <v>PC-RCP-0750</v>
      </c>
      <c r="J235" s="15" t="str">
        <f aca="false">IFERROR(INDEX(Items!$C$2:$C$500,MATCH(I235,Items!$H$2:$H$500,0)),"UNKNOWN")</f>
        <v>UNKNOWN</v>
      </c>
      <c r="K235" s="24" t="str">
        <f aca="false">IF(J235="UNKNOWN","",INDEX(Items!$F$2:$F$500,MATCH(I235,Items!$H$2:$H$500,0)))</f>
        <v/>
      </c>
      <c r="L235" s="24" t="n">
        <f aca="false">IF(ISNUMBER(H235),G235*H235,"")</f>
        <v>19190.05</v>
      </c>
      <c r="M235" s="28" t="n">
        <f aca="false">IF(ISNUMBER(H235),G235,0)</f>
        <v>11</v>
      </c>
      <c r="N235" s="31" t="str">
        <f aca="false">IF(AND(ISNUMBER(H235),ISNUMBER(K235)),1-H235/K235,"")</f>
        <v/>
      </c>
      <c r="O235" s="24" t="str">
        <f aca="false">IF(J235="UNKNOWN","",INDEX(Cost_Rollup!$F$5:$F$16,MATCH(I235,Cost_Rollup!$A$5:$A$16,0)))</f>
        <v/>
      </c>
      <c r="P235" s="24" t="str">
        <f aca="false">IF(AND(ISNUMBER(L235),ISNUMBER(O235)),G235*O235,"")</f>
        <v/>
      </c>
      <c r="Q235" s="15" t="str">
        <f aca="false">IF(H235="","Missing price; ","")&amp;IF(J235="UNKNOWN","Unknown item; ","")&amp;IF(AND(ISNUMBER(N235),N235&gt;Discount_Threshold),"Discount above limit; ","")</f>
        <v>Unknown item; </v>
      </c>
      <c r="R235" s="15" t="str">
        <f aca="false">IF(Q235="","OK","CHECK")</f>
        <v>CHECK</v>
      </c>
    </row>
    <row r="236" customFormat="false" ht="15" hidden="false" customHeight="false" outlineLevel="0" collapsed="false">
      <c r="A236" s="12" t="s">
        <v>507</v>
      </c>
      <c r="B236" s="30" t="n">
        <v>45981</v>
      </c>
      <c r="C236" s="12" t="s">
        <v>273</v>
      </c>
      <c r="D236" s="12" t="s">
        <v>274</v>
      </c>
      <c r="E236" s="12" t="s">
        <v>147</v>
      </c>
      <c r="F236" s="12" t="s">
        <v>122</v>
      </c>
      <c r="G236" s="23" t="n">
        <v>6</v>
      </c>
      <c r="H236" s="22" t="n">
        <v>704.08</v>
      </c>
      <c r="I236" s="15" t="str">
        <f aca="false">UPPER(TRIM(F236))</f>
        <v>PC-CB-0600</v>
      </c>
      <c r="J236" s="15" t="str">
        <f aca="false">IFERROR(INDEX(Items!$C$2:$C$500,MATCH(I236,Items!$H$2:$H$500,0)),"UNKNOWN")</f>
        <v>Catch Basin</v>
      </c>
      <c r="K236" s="24" t="n">
        <f aca="false">IF(J236="UNKNOWN","",INDEX(Items!$F$2:$F$500,MATCH(I236,Items!$H$2:$H$500,0)))</f>
        <v>690</v>
      </c>
      <c r="L236" s="24" t="n">
        <f aca="false">IF(ISNUMBER(H236),G236*H236,"")</f>
        <v>4224.48</v>
      </c>
      <c r="M236" s="28" t="n">
        <f aca="false">IF(ISNUMBER(H236),G236,0)</f>
        <v>6</v>
      </c>
      <c r="N236" s="31" t="n">
        <f aca="false">IF(AND(ISNUMBER(H236),ISNUMBER(K236)),1-H236/K236,"")</f>
        <v>-0.0204057971014493</v>
      </c>
      <c r="O236" s="24" t="n">
        <f aca="false">IF(J236="UNKNOWN","",INDEX(Cost_Rollup!$F$5:$F$16,MATCH(I236,Cost_Rollup!$A$5:$A$16,0)))</f>
        <v>471.0488</v>
      </c>
      <c r="P236" s="24" t="n">
        <f aca="false">IF(AND(ISNUMBER(L236),ISNUMBER(O236)),G236*O236,"")</f>
        <v>2826.2928</v>
      </c>
      <c r="Q236" s="15" t="str">
        <f aca="false">IF(H236="","Missing price; ","")&amp;IF(J236="UNKNOWN","Unknown item; ","")&amp;IF(AND(ISNUMBER(N236),N236&gt;Discount_Threshold),"Discount above limit; ","")</f>
        <v/>
      </c>
      <c r="R236" s="15" t="str">
        <f aca="false">IF(Q236="","OK","CHECK")</f>
        <v>OK</v>
      </c>
    </row>
    <row r="237" customFormat="false" ht="15" hidden="false" customHeight="false" outlineLevel="0" collapsed="false">
      <c r="A237" s="12" t="s">
        <v>508</v>
      </c>
      <c r="B237" s="30" t="n">
        <v>45981</v>
      </c>
      <c r="C237" s="12" t="s">
        <v>265</v>
      </c>
      <c r="D237" s="12" t="s">
        <v>266</v>
      </c>
      <c r="E237" s="12" t="s">
        <v>70</v>
      </c>
      <c r="F237" s="12" t="s">
        <v>115</v>
      </c>
      <c r="G237" s="23" t="n">
        <v>3</v>
      </c>
      <c r="H237" s="22" t="n">
        <v>998.31</v>
      </c>
      <c r="I237" s="15" t="str">
        <f aca="false">UPPER(TRIM(F237))</f>
        <v>PC-MH-1050B</v>
      </c>
      <c r="J237" s="15" t="str">
        <f aca="false">IFERROR(INDEX(Items!$C$2:$C$500,MATCH(I237,Items!$H$2:$H$500,0)),"UNKNOWN")</f>
        <v>Manhole</v>
      </c>
      <c r="K237" s="24" t="n">
        <f aca="false">IF(J237="UNKNOWN","",INDEX(Items!$F$2:$F$500,MATCH(I237,Items!$H$2:$H$500,0)))</f>
        <v>980</v>
      </c>
      <c r="L237" s="24" t="n">
        <f aca="false">IF(ISNUMBER(H237),G237*H237,"")</f>
        <v>2994.93</v>
      </c>
      <c r="M237" s="28" t="n">
        <f aca="false">IF(ISNUMBER(H237),G237,0)</f>
        <v>3</v>
      </c>
      <c r="N237" s="31" t="n">
        <f aca="false">IF(AND(ISNUMBER(H237),ISNUMBER(K237)),1-H237/K237,"")</f>
        <v>-0.0186836734693876</v>
      </c>
      <c r="O237" s="24" t="n">
        <f aca="false">IF(J237="UNKNOWN","",INDEX(Cost_Rollup!$F$5:$F$16,MATCH(I237,Cost_Rollup!$A$5:$A$16,0)))</f>
        <v>635.433</v>
      </c>
      <c r="P237" s="24" t="n">
        <f aca="false">IF(AND(ISNUMBER(L237),ISNUMBER(O237)),G237*O237,"")</f>
        <v>1906.299</v>
      </c>
      <c r="Q237" s="15" t="str">
        <f aca="false">IF(H237="","Missing price; ","")&amp;IF(J237="UNKNOWN","Unknown item; ","")&amp;IF(AND(ISNUMBER(N237),N237&gt;Discount_Threshold),"Discount above limit; ","")</f>
        <v/>
      </c>
      <c r="R237" s="15" t="str">
        <f aca="false">IF(Q237="","OK","CHECK")</f>
        <v>OK</v>
      </c>
    </row>
    <row r="238" customFormat="false" ht="15" hidden="false" customHeight="false" outlineLevel="0" collapsed="false">
      <c r="A238" s="12" t="s">
        <v>509</v>
      </c>
      <c r="B238" s="30" t="n">
        <v>45983</v>
      </c>
      <c r="C238" s="12" t="s">
        <v>260</v>
      </c>
      <c r="D238" s="12" t="s">
        <v>258</v>
      </c>
      <c r="E238" s="12" t="s">
        <v>70</v>
      </c>
      <c r="F238" s="12" t="s">
        <v>120</v>
      </c>
      <c r="G238" s="23" t="n">
        <v>4</v>
      </c>
      <c r="H238" s="22" t="n">
        <v>491.38</v>
      </c>
      <c r="I238" s="15" t="str">
        <f aca="false">UPPER(TRIM(F238))</f>
        <v>PC-MH-1200R</v>
      </c>
      <c r="J238" s="15" t="str">
        <f aca="false">IFERROR(INDEX(Items!$C$2:$C$500,MATCH(I238,Items!$H$2:$H$500,0)),"UNKNOWN")</f>
        <v>Manhole</v>
      </c>
      <c r="K238" s="24" t="n">
        <f aca="false">IF(J238="UNKNOWN","",INDEX(Items!$F$2:$F$500,MATCH(I238,Items!$H$2:$H$500,0)))</f>
        <v>520</v>
      </c>
      <c r="L238" s="24" t="n">
        <f aca="false">IF(ISNUMBER(H238),G238*H238,"")</f>
        <v>1965.52</v>
      </c>
      <c r="M238" s="28" t="n">
        <f aca="false">IF(ISNUMBER(H238),G238,0)</f>
        <v>4</v>
      </c>
      <c r="N238" s="31" t="n">
        <f aca="false">IF(AND(ISNUMBER(H238),ISNUMBER(K238)),1-H238/K238,"")</f>
        <v>0.0550384615384616</v>
      </c>
      <c r="O238" s="24" t="n">
        <f aca="false">IF(J238="UNKNOWN","",INDEX(Cost_Rollup!$F$5:$F$16,MATCH(I238,Cost_Rollup!$A$5:$A$16,0)))</f>
        <v>381.98428</v>
      </c>
      <c r="P238" s="24" t="n">
        <f aca="false">IF(AND(ISNUMBER(L238),ISNUMBER(O238)),G238*O238,"")</f>
        <v>1527.93712</v>
      </c>
      <c r="Q238" s="15" t="str">
        <f aca="false">IF(H238="","Missing price; ","")&amp;IF(J238="UNKNOWN","Unknown item; ","")&amp;IF(AND(ISNUMBER(N238),N238&gt;Discount_Threshold),"Discount above limit; ","")</f>
        <v/>
      </c>
      <c r="R238" s="15" t="str">
        <f aca="false">IF(Q238="","OK","CHECK")</f>
        <v>OK</v>
      </c>
    </row>
    <row r="239" customFormat="false" ht="15" hidden="false" customHeight="false" outlineLevel="0" collapsed="false">
      <c r="A239" s="12" t="s">
        <v>510</v>
      </c>
      <c r="B239" s="30" t="n">
        <v>45985</v>
      </c>
      <c r="C239" s="12" t="s">
        <v>263</v>
      </c>
      <c r="D239" s="12" t="s">
        <v>258</v>
      </c>
      <c r="E239" s="12" t="s">
        <v>70</v>
      </c>
      <c r="F239" s="12" t="s">
        <v>129</v>
      </c>
      <c r="G239" s="23" t="n">
        <v>35</v>
      </c>
      <c r="H239" s="22" t="n">
        <v>2424</v>
      </c>
      <c r="I239" s="15" t="str">
        <f aca="false">UPPER(TRIM(F239))</f>
        <v>PC-BAR-SS60</v>
      </c>
      <c r="J239" s="15" t="str">
        <f aca="false">IFERROR(INDEX(Items!$C$2:$C$500,MATCH(I239,Items!$H$2:$H$500,0)),"UNKNOWN")</f>
        <v>Barrier</v>
      </c>
      <c r="K239" s="24" t="n">
        <f aca="false">IF(J239="UNKNOWN","",INDEX(Items!$F$2:$F$500,MATCH(I239,Items!$H$2:$H$500,0)))</f>
        <v>2350</v>
      </c>
      <c r="L239" s="24" t="n">
        <f aca="false">IF(ISNUMBER(H239),G239*H239,"")</f>
        <v>84840</v>
      </c>
      <c r="M239" s="28" t="n">
        <f aca="false">IF(ISNUMBER(H239),G239,0)</f>
        <v>35</v>
      </c>
      <c r="N239" s="31" t="n">
        <f aca="false">IF(AND(ISNUMBER(H239),ISNUMBER(K239)),1-H239/K239,"")</f>
        <v>-0.0314893617021277</v>
      </c>
      <c r="O239" s="24" t="n">
        <f aca="false">IF(J239="UNKNOWN","",INDEX(Cost_Rollup!$F$5:$F$16,MATCH(I239,Cost_Rollup!$A$5:$A$16,0)))</f>
        <v>1583.5454</v>
      </c>
      <c r="P239" s="24" t="n">
        <f aca="false">IF(AND(ISNUMBER(L239),ISNUMBER(O239)),G239*O239,"")</f>
        <v>55424.089</v>
      </c>
      <c r="Q239" s="15" t="str">
        <f aca="false">IF(H239="","Missing price; ","")&amp;IF(J239="UNKNOWN","Unknown item; ","")&amp;IF(AND(ISNUMBER(N239),N239&gt;Discount_Threshold),"Discount above limit; ","")</f>
        <v/>
      </c>
      <c r="R239" s="15" t="str">
        <f aca="false">IF(Q239="","OK","CHECK")</f>
        <v>OK</v>
      </c>
    </row>
    <row r="240" customFormat="false" ht="15" hidden="false" customHeight="false" outlineLevel="0" collapsed="false">
      <c r="A240" s="12" t="s">
        <v>511</v>
      </c>
      <c r="B240" s="30" t="n">
        <v>45985</v>
      </c>
      <c r="C240" s="12" t="s">
        <v>260</v>
      </c>
      <c r="D240" s="12" t="s">
        <v>258</v>
      </c>
      <c r="E240" s="12" t="s">
        <v>70</v>
      </c>
      <c r="F240" s="12" t="s">
        <v>129</v>
      </c>
      <c r="G240" s="23" t="n">
        <v>18</v>
      </c>
      <c r="H240" s="22" t="n">
        <v>2124.5</v>
      </c>
      <c r="I240" s="15" t="str">
        <f aca="false">UPPER(TRIM(F240))</f>
        <v>PC-BAR-SS60</v>
      </c>
      <c r="J240" s="15" t="str">
        <f aca="false">IFERROR(INDEX(Items!$C$2:$C$500,MATCH(I240,Items!$H$2:$H$500,0)),"UNKNOWN")</f>
        <v>Barrier</v>
      </c>
      <c r="K240" s="24" t="n">
        <f aca="false">IF(J240="UNKNOWN","",INDEX(Items!$F$2:$F$500,MATCH(I240,Items!$H$2:$H$500,0)))</f>
        <v>2350</v>
      </c>
      <c r="L240" s="24" t="n">
        <f aca="false">IF(ISNUMBER(H240),G240*H240,"")</f>
        <v>38241</v>
      </c>
      <c r="M240" s="28" t="n">
        <f aca="false">IF(ISNUMBER(H240),G240,0)</f>
        <v>18</v>
      </c>
      <c r="N240" s="31" t="n">
        <f aca="false">IF(AND(ISNUMBER(H240),ISNUMBER(K240)),1-H240/K240,"")</f>
        <v>0.0959574468085106</v>
      </c>
      <c r="O240" s="24" t="n">
        <f aca="false">IF(J240="UNKNOWN","",INDEX(Cost_Rollup!$F$5:$F$16,MATCH(I240,Cost_Rollup!$A$5:$A$16,0)))</f>
        <v>1583.5454</v>
      </c>
      <c r="P240" s="24" t="n">
        <f aca="false">IF(AND(ISNUMBER(L240),ISNUMBER(O240)),G240*O240,"")</f>
        <v>28503.8172</v>
      </c>
      <c r="Q240" s="15" t="str">
        <f aca="false">IF(H240="","Missing price; ","")&amp;IF(J240="UNKNOWN","Unknown item; ","")&amp;IF(AND(ISNUMBER(N240),N240&gt;Discount_Threshold),"Discount above limit; ","")</f>
        <v/>
      </c>
      <c r="R240" s="15" t="str">
        <f aca="false">IF(Q240="","OK","CHECK")</f>
        <v>OK</v>
      </c>
    </row>
    <row r="241" customFormat="false" ht="15" hidden="false" customHeight="false" outlineLevel="0" collapsed="false">
      <c r="A241" s="12" t="s">
        <v>512</v>
      </c>
      <c r="B241" s="30" t="n">
        <v>45987</v>
      </c>
      <c r="C241" s="12" t="s">
        <v>276</v>
      </c>
      <c r="D241" s="12" t="s">
        <v>277</v>
      </c>
      <c r="E241" s="12" t="s">
        <v>70</v>
      </c>
      <c r="F241" s="12" t="s">
        <v>125</v>
      </c>
      <c r="G241" s="23" t="n">
        <v>18</v>
      </c>
      <c r="H241" s="22" t="n">
        <v>1391.16</v>
      </c>
      <c r="I241" s="15" t="str">
        <f aca="false">UPPER(TRIM(F241))</f>
        <v>PC-BAR-F38</v>
      </c>
      <c r="J241" s="15" t="str">
        <f aca="false">IFERROR(INDEX(Items!$C$2:$C$500,MATCH(I241,Items!$H$2:$H$500,0)),"UNKNOWN")</f>
        <v>Barrier</v>
      </c>
      <c r="K241" s="24" t="n">
        <f aca="false">IF(J241="UNKNOWN","",INDEX(Items!$F$2:$F$500,MATCH(I241,Items!$H$2:$H$500,0)))</f>
        <v>1450</v>
      </c>
      <c r="L241" s="24" t="n">
        <f aca="false">IF(ISNUMBER(H241),G241*H241,"")</f>
        <v>25040.88</v>
      </c>
      <c r="M241" s="28" t="n">
        <f aca="false">IF(ISNUMBER(H241),G241,0)</f>
        <v>18</v>
      </c>
      <c r="N241" s="31" t="n">
        <f aca="false">IF(AND(ISNUMBER(H241),ISNUMBER(K241)),1-H241/K241,"")</f>
        <v>0.0405793103448275</v>
      </c>
      <c r="O241" s="24" t="n">
        <f aca="false">IF(J241="UNKNOWN","",INDEX(Cost_Rollup!$F$5:$F$16,MATCH(I241,Cost_Rollup!$A$5:$A$16,0)))</f>
        <v>978.66328</v>
      </c>
      <c r="P241" s="24" t="n">
        <f aca="false">IF(AND(ISNUMBER(L241),ISNUMBER(O241)),G241*O241,"")</f>
        <v>17615.93904</v>
      </c>
      <c r="Q241" s="15" t="str">
        <f aca="false">IF(H241="","Missing price; ","")&amp;IF(J241="UNKNOWN","Unknown item; ","")&amp;IF(AND(ISNUMBER(N241),N241&gt;Discount_Threshold),"Discount above limit; ","")</f>
        <v/>
      </c>
      <c r="R241" s="15" t="str">
        <f aca="false">IF(Q241="","OK","CHECK")</f>
        <v>OK</v>
      </c>
    </row>
    <row r="242" customFormat="false" ht="15" hidden="false" customHeight="false" outlineLevel="0" collapsed="false">
      <c r="A242" s="12" t="s">
        <v>513</v>
      </c>
      <c r="B242" s="30" t="n">
        <v>45988</v>
      </c>
      <c r="C242" s="12" t="s">
        <v>260</v>
      </c>
      <c r="D242" s="12" t="s">
        <v>258</v>
      </c>
      <c r="E242" s="12" t="s">
        <v>70</v>
      </c>
      <c r="F242" s="12" t="s">
        <v>131</v>
      </c>
      <c r="G242" s="23" t="n">
        <v>177</v>
      </c>
      <c r="H242" s="22" t="n">
        <v>111.6</v>
      </c>
      <c r="I242" s="15" t="str">
        <f aca="false">UPPER(TRIM(F242))</f>
        <v>PC-HC-200</v>
      </c>
      <c r="J242" s="15" t="str">
        <f aca="false">IFERROR(INDEX(Items!$C$2:$C$500,MATCH(I242,Items!$H$2:$H$500,0)),"UNKNOWN")</f>
        <v>Slab</v>
      </c>
      <c r="K242" s="24" t="n">
        <f aca="false">IF(J242="UNKNOWN","",INDEX(Items!$F$2:$F$500,MATCH(I242,Items!$H$2:$H$500,0)))</f>
        <v>118</v>
      </c>
      <c r="L242" s="24" t="n">
        <f aca="false">IF(ISNUMBER(H242),G242*H242,"")</f>
        <v>19753.2</v>
      </c>
      <c r="M242" s="28" t="n">
        <f aca="false">IF(ISNUMBER(H242),G242,0)</f>
        <v>177</v>
      </c>
      <c r="N242" s="31" t="n">
        <f aca="false">IF(AND(ISNUMBER(H242),ISNUMBER(K242)),1-H242/K242,"")</f>
        <v>0.0542372881355933</v>
      </c>
      <c r="O242" s="24" t="n">
        <f aca="false">IF(J242="UNKNOWN","",INDEX(Cost_Rollup!$F$5:$F$16,MATCH(I242,Cost_Rollup!$A$5:$A$16,0)))</f>
        <v>78.89382</v>
      </c>
      <c r="P242" s="24" t="n">
        <f aca="false">IF(AND(ISNUMBER(L242),ISNUMBER(O242)),G242*O242,"")</f>
        <v>13964.20614</v>
      </c>
      <c r="Q242" s="15" t="str">
        <f aca="false">IF(H242="","Missing price; ","")&amp;IF(J242="UNKNOWN","Unknown item; ","")&amp;IF(AND(ISNUMBER(N242),N242&gt;Discount_Threshold),"Discount above limit; ","")</f>
        <v/>
      </c>
      <c r="R242" s="15" t="str">
        <f aca="false">IF(Q242="","OK","CHECK")</f>
        <v>OK</v>
      </c>
    </row>
    <row r="243" customFormat="false" ht="15" hidden="false" customHeight="false" outlineLevel="0" collapsed="false">
      <c r="A243" s="12" t="s">
        <v>514</v>
      </c>
      <c r="B243" s="30" t="n">
        <v>45988</v>
      </c>
      <c r="C243" s="12" t="s">
        <v>279</v>
      </c>
      <c r="D243" s="12" t="s">
        <v>280</v>
      </c>
      <c r="E243" s="12" t="s">
        <v>147</v>
      </c>
      <c r="F243" s="12" t="s">
        <v>131</v>
      </c>
      <c r="G243" s="23" t="n">
        <v>70</v>
      </c>
      <c r="H243" s="22" t="n">
        <v>116.31</v>
      </c>
      <c r="I243" s="15" t="str">
        <f aca="false">UPPER(TRIM(F243))</f>
        <v>PC-HC-200</v>
      </c>
      <c r="J243" s="15" t="str">
        <f aca="false">IFERROR(INDEX(Items!$C$2:$C$500,MATCH(I243,Items!$H$2:$H$500,0)),"UNKNOWN")</f>
        <v>Slab</v>
      </c>
      <c r="K243" s="24" t="n">
        <f aca="false">IF(J243="UNKNOWN","",INDEX(Items!$F$2:$F$500,MATCH(I243,Items!$H$2:$H$500,0)))</f>
        <v>118</v>
      </c>
      <c r="L243" s="24" t="n">
        <f aca="false">IF(ISNUMBER(H243),G243*H243,"")</f>
        <v>8141.7</v>
      </c>
      <c r="M243" s="28" t="n">
        <f aca="false">IF(ISNUMBER(H243),G243,0)</f>
        <v>70</v>
      </c>
      <c r="N243" s="31" t="n">
        <f aca="false">IF(AND(ISNUMBER(H243),ISNUMBER(K243)),1-H243/K243,"")</f>
        <v>0.0143220338983051</v>
      </c>
      <c r="O243" s="24" t="n">
        <f aca="false">IF(J243="UNKNOWN","",INDEX(Cost_Rollup!$F$5:$F$16,MATCH(I243,Cost_Rollup!$A$5:$A$16,0)))</f>
        <v>78.89382</v>
      </c>
      <c r="P243" s="24" t="n">
        <f aca="false">IF(AND(ISNUMBER(L243),ISNUMBER(O243)),G243*O243,"")</f>
        <v>5522.5674</v>
      </c>
      <c r="Q243" s="15" t="str">
        <f aca="false">IF(H243="","Missing price; ","")&amp;IF(J243="UNKNOWN","Unknown item; ","")&amp;IF(AND(ISNUMBER(N243),N243&gt;Discount_Threshold),"Discount above limit; ","")</f>
        <v/>
      </c>
      <c r="R243" s="15" t="str">
        <f aca="false">IF(Q243="","OK","CHECK")</f>
        <v>OK</v>
      </c>
    </row>
    <row r="244" customFormat="false" ht="15" hidden="false" customHeight="false" outlineLevel="0" collapsed="false">
      <c r="A244" s="12" t="s">
        <v>515</v>
      </c>
      <c r="B244" s="30" t="n">
        <v>45990</v>
      </c>
      <c r="C244" s="12" t="s">
        <v>292</v>
      </c>
      <c r="D244" s="12" t="s">
        <v>277</v>
      </c>
      <c r="E244" s="12" t="s">
        <v>70</v>
      </c>
      <c r="F244" s="12" t="s">
        <v>108</v>
      </c>
      <c r="G244" s="23" t="n">
        <v>13</v>
      </c>
      <c r="H244" s="22"/>
      <c r="I244" s="15" t="str">
        <f aca="false">UPPER(TRIM(F244))</f>
        <v>PC-RCP-0900</v>
      </c>
      <c r="J244" s="15" t="str">
        <f aca="false">IFERROR(INDEX(Items!$C$2:$C$500,MATCH(I244,Items!$H$2:$H$500,0)),"UNKNOWN")</f>
        <v>Pipe</v>
      </c>
      <c r="K244" s="24" t="n">
        <f aca="false">IF(J244="UNKNOWN","",INDEX(Items!$F$2:$F$500,MATCH(I244,Items!$H$2:$H$500,0)))</f>
        <v>1150</v>
      </c>
      <c r="L244" s="24" t="str">
        <f aca="false">IF(ISNUMBER(H244),G244*H244,"")</f>
        <v/>
      </c>
      <c r="M244" s="28" t="n">
        <f aca="false">IF(ISNUMBER(H244),G244,0)</f>
        <v>0</v>
      </c>
      <c r="N244" s="31" t="str">
        <f aca="false">IF(AND(ISNUMBER(H244),ISNUMBER(K244)),1-H244/K244,"")</f>
        <v/>
      </c>
      <c r="O244" s="24" t="n">
        <f aca="false">IF(J244="UNKNOWN","",INDEX(Cost_Rollup!$F$5:$F$16,MATCH(I244,Cost_Rollup!$A$5:$A$16,0)))</f>
        <v>750.4337265687</v>
      </c>
      <c r="P244" s="24" t="str">
        <f aca="false">IF(AND(ISNUMBER(L244),ISNUMBER(O244)),G244*O244,"")</f>
        <v/>
      </c>
      <c r="Q244" s="15" t="str">
        <f aca="false">IF(H244="","Missing price; ","")&amp;IF(J244="UNKNOWN","Unknown item; ","")&amp;IF(AND(ISNUMBER(N244),N244&gt;Discount_Threshold),"Discount above limit; ","")</f>
        <v>Missing price; </v>
      </c>
      <c r="R244" s="15" t="str">
        <f aca="false">IF(Q244="","OK","CHECK")</f>
        <v>CHECK</v>
      </c>
    </row>
    <row r="245" customFormat="false" ht="15" hidden="false" customHeight="false" outlineLevel="0" collapsed="false">
      <c r="A245" s="12" t="s">
        <v>516</v>
      </c>
      <c r="B245" s="30" t="n">
        <v>45993</v>
      </c>
      <c r="C245" s="12" t="s">
        <v>285</v>
      </c>
      <c r="D245" s="12" t="s">
        <v>266</v>
      </c>
      <c r="E245" s="12" t="s">
        <v>70</v>
      </c>
      <c r="F245" s="12" t="s">
        <v>115</v>
      </c>
      <c r="G245" s="23" t="n">
        <v>1</v>
      </c>
      <c r="H245" s="22" t="n">
        <v>998.32</v>
      </c>
      <c r="I245" s="15" t="str">
        <f aca="false">UPPER(TRIM(F245))</f>
        <v>PC-MH-1050B</v>
      </c>
      <c r="J245" s="15" t="str">
        <f aca="false">IFERROR(INDEX(Items!$C$2:$C$500,MATCH(I245,Items!$H$2:$H$500,0)),"UNKNOWN")</f>
        <v>Manhole</v>
      </c>
      <c r="K245" s="24" t="n">
        <f aca="false">IF(J245="UNKNOWN","",INDEX(Items!$F$2:$F$500,MATCH(I245,Items!$H$2:$H$500,0)))</f>
        <v>980</v>
      </c>
      <c r="L245" s="24" t="n">
        <f aca="false">IF(ISNUMBER(H245),G245*H245,"")</f>
        <v>998.32</v>
      </c>
      <c r="M245" s="28" t="n">
        <f aca="false">IF(ISNUMBER(H245),G245,0)</f>
        <v>1</v>
      </c>
      <c r="N245" s="31" t="n">
        <f aca="false">IF(AND(ISNUMBER(H245),ISNUMBER(K245)),1-H245/K245,"")</f>
        <v>-0.0186938775510204</v>
      </c>
      <c r="O245" s="24" t="n">
        <f aca="false">IF(J245="UNKNOWN","",INDEX(Cost_Rollup!$F$5:$F$16,MATCH(I245,Cost_Rollup!$A$5:$A$16,0)))</f>
        <v>635.433</v>
      </c>
      <c r="P245" s="24" t="n">
        <f aca="false">IF(AND(ISNUMBER(L245),ISNUMBER(O245)),G245*O245,"")</f>
        <v>635.433</v>
      </c>
      <c r="Q245" s="15" t="str">
        <f aca="false">IF(H245="","Missing price; ","")&amp;IF(J245="UNKNOWN","Unknown item; ","")&amp;IF(AND(ISNUMBER(N245),N245&gt;Discount_Threshold),"Discount above limit; ","")</f>
        <v/>
      </c>
      <c r="R245" s="15" t="str">
        <f aca="false">IF(Q245="","OK","CHECK")</f>
        <v>OK</v>
      </c>
    </row>
    <row r="246" customFormat="false" ht="15" hidden="false" customHeight="false" outlineLevel="0" collapsed="false">
      <c r="A246" s="12" t="s">
        <v>517</v>
      </c>
      <c r="B246" s="30" t="n">
        <v>45993</v>
      </c>
      <c r="C246" s="12" t="s">
        <v>257</v>
      </c>
      <c r="D246" s="12" t="s">
        <v>258</v>
      </c>
      <c r="E246" s="12" t="s">
        <v>70</v>
      </c>
      <c r="F246" s="12" t="s">
        <v>103</v>
      </c>
      <c r="G246" s="23" t="n">
        <v>4</v>
      </c>
      <c r="H246" s="22" t="n">
        <v>621.73</v>
      </c>
      <c r="I246" s="15" t="str">
        <f aca="false">UPPER(TRIM(F246))</f>
        <v>PC-RCP-0600</v>
      </c>
      <c r="J246" s="15" t="str">
        <f aca="false">IFERROR(INDEX(Items!$C$2:$C$500,MATCH(I246,Items!$H$2:$H$500,0)),"UNKNOWN")</f>
        <v>Pipe</v>
      </c>
      <c r="K246" s="24" t="n">
        <f aca="false">IF(J246="UNKNOWN","",INDEX(Items!$F$2:$F$500,MATCH(I246,Items!$H$2:$H$500,0)))</f>
        <v>640</v>
      </c>
      <c r="L246" s="24" t="n">
        <f aca="false">IF(ISNUMBER(H246),G246*H246,"")</f>
        <v>2486.92</v>
      </c>
      <c r="M246" s="28" t="n">
        <f aca="false">IF(ISNUMBER(H246),G246,0)</f>
        <v>4</v>
      </c>
      <c r="N246" s="31" t="n">
        <f aca="false">IF(AND(ISNUMBER(H246),ISNUMBER(K246)),1-H246/K246,"")</f>
        <v>0.028546875</v>
      </c>
      <c r="O246" s="24" t="n">
        <f aca="false">IF(J246="UNKNOWN","",INDEX(Cost_Rollup!$F$5:$F$16,MATCH(I246,Cost_Rollup!$A$5:$A$16,0)))</f>
        <v>429.94832</v>
      </c>
      <c r="P246" s="24" t="n">
        <f aca="false">IF(AND(ISNUMBER(L246),ISNUMBER(O246)),G246*O246,"")</f>
        <v>1719.79328</v>
      </c>
      <c r="Q246" s="15" t="str">
        <f aca="false">IF(H246="","Missing price; ","")&amp;IF(J246="UNKNOWN","Unknown item; ","")&amp;IF(AND(ISNUMBER(N246),N246&gt;Discount_Threshold),"Discount above limit; ","")</f>
        <v/>
      </c>
      <c r="R246" s="15" t="str">
        <f aca="false">IF(Q246="","OK","CHECK")</f>
        <v>OK</v>
      </c>
    </row>
    <row r="247" customFormat="false" ht="15" hidden="false" customHeight="false" outlineLevel="0" collapsed="false">
      <c r="A247" s="12" t="s">
        <v>518</v>
      </c>
      <c r="B247" s="30" t="n">
        <v>45993</v>
      </c>
      <c r="C247" s="12" t="s">
        <v>292</v>
      </c>
      <c r="D247" s="12" t="s">
        <v>277</v>
      </c>
      <c r="E247" s="12" t="s">
        <v>70</v>
      </c>
      <c r="F247" s="12" t="s">
        <v>122</v>
      </c>
      <c r="G247" s="23" t="n">
        <v>3</v>
      </c>
      <c r="H247" s="22" t="n">
        <v>622.83</v>
      </c>
      <c r="I247" s="15" t="str">
        <f aca="false">UPPER(TRIM(F247))</f>
        <v>PC-CB-0600</v>
      </c>
      <c r="J247" s="15" t="str">
        <f aca="false">IFERROR(INDEX(Items!$C$2:$C$500,MATCH(I247,Items!$H$2:$H$500,0)),"UNKNOWN")</f>
        <v>Catch Basin</v>
      </c>
      <c r="K247" s="24" t="n">
        <f aca="false">IF(J247="UNKNOWN","",INDEX(Items!$F$2:$F$500,MATCH(I247,Items!$H$2:$H$500,0)))</f>
        <v>690</v>
      </c>
      <c r="L247" s="24" t="n">
        <f aca="false">IF(ISNUMBER(H247),G247*H247,"")</f>
        <v>1868.49</v>
      </c>
      <c r="M247" s="28" t="n">
        <f aca="false">IF(ISNUMBER(H247),G247,0)</f>
        <v>3</v>
      </c>
      <c r="N247" s="31" t="n">
        <f aca="false">IF(AND(ISNUMBER(H247),ISNUMBER(K247)),1-H247/K247,"")</f>
        <v>0.0973478260869565</v>
      </c>
      <c r="O247" s="24" t="n">
        <f aca="false">IF(J247="UNKNOWN","",INDEX(Cost_Rollup!$F$5:$F$16,MATCH(I247,Cost_Rollup!$A$5:$A$16,0)))</f>
        <v>471.0488</v>
      </c>
      <c r="P247" s="24" t="n">
        <f aca="false">IF(AND(ISNUMBER(L247),ISNUMBER(O247)),G247*O247,"")</f>
        <v>1413.1464</v>
      </c>
      <c r="Q247" s="15" t="str">
        <f aca="false">IF(H247="","Missing price; ","")&amp;IF(J247="UNKNOWN","Unknown item; ","")&amp;IF(AND(ISNUMBER(N247),N247&gt;Discount_Threshold),"Discount above limit; ","")</f>
        <v/>
      </c>
      <c r="R247" s="15" t="str">
        <f aca="false">IF(Q247="","OK","CHECK")</f>
        <v>OK</v>
      </c>
    </row>
    <row r="248" customFormat="false" ht="15" hidden="false" customHeight="false" outlineLevel="0" collapsed="false">
      <c r="A248" s="12" t="s">
        <v>519</v>
      </c>
      <c r="B248" s="30" t="n">
        <v>45994</v>
      </c>
      <c r="C248" s="12" t="s">
        <v>292</v>
      </c>
      <c r="D248" s="12" t="s">
        <v>277</v>
      </c>
      <c r="E248" s="12" t="s">
        <v>70</v>
      </c>
      <c r="F248" s="12" t="s">
        <v>103</v>
      </c>
      <c r="G248" s="23" t="n">
        <v>24</v>
      </c>
      <c r="H248" s="22" t="n">
        <v>624.81</v>
      </c>
      <c r="I248" s="15" t="str">
        <f aca="false">UPPER(TRIM(F248))</f>
        <v>PC-RCP-0600</v>
      </c>
      <c r="J248" s="15" t="str">
        <f aca="false">IFERROR(INDEX(Items!$C$2:$C$500,MATCH(I248,Items!$H$2:$H$500,0)),"UNKNOWN")</f>
        <v>Pipe</v>
      </c>
      <c r="K248" s="24" t="n">
        <f aca="false">IF(J248="UNKNOWN","",INDEX(Items!$F$2:$F$500,MATCH(I248,Items!$H$2:$H$500,0)))</f>
        <v>640</v>
      </c>
      <c r="L248" s="24" t="n">
        <f aca="false">IF(ISNUMBER(H248),G248*H248,"")</f>
        <v>14995.44</v>
      </c>
      <c r="M248" s="28" t="n">
        <f aca="false">IF(ISNUMBER(H248),G248,0)</f>
        <v>24</v>
      </c>
      <c r="N248" s="31" t="n">
        <f aca="false">IF(AND(ISNUMBER(H248),ISNUMBER(K248)),1-H248/K248,"")</f>
        <v>0.0237343750000001</v>
      </c>
      <c r="O248" s="24" t="n">
        <f aca="false">IF(J248="UNKNOWN","",INDEX(Cost_Rollup!$F$5:$F$16,MATCH(I248,Cost_Rollup!$A$5:$A$16,0)))</f>
        <v>429.94832</v>
      </c>
      <c r="P248" s="24" t="n">
        <f aca="false">IF(AND(ISNUMBER(L248),ISNUMBER(O248)),G248*O248,"")</f>
        <v>10318.75968</v>
      </c>
      <c r="Q248" s="15" t="str">
        <f aca="false">IF(H248="","Missing price; ","")&amp;IF(J248="UNKNOWN","Unknown item; ","")&amp;IF(AND(ISNUMBER(N248),N248&gt;Discount_Threshold),"Discount above limit; ","")</f>
        <v/>
      </c>
      <c r="R248" s="15" t="str">
        <f aca="false">IF(Q248="","OK","CHECK")</f>
        <v>OK</v>
      </c>
    </row>
    <row r="249" customFormat="false" ht="15" hidden="false" customHeight="false" outlineLevel="0" collapsed="false">
      <c r="A249" s="12" t="s">
        <v>520</v>
      </c>
      <c r="B249" s="30" t="n">
        <v>45994</v>
      </c>
      <c r="C249" s="12" t="s">
        <v>257</v>
      </c>
      <c r="D249" s="12" t="s">
        <v>258</v>
      </c>
      <c r="E249" s="12" t="s">
        <v>70</v>
      </c>
      <c r="F249" s="12" t="s">
        <v>103</v>
      </c>
      <c r="G249" s="23" t="n">
        <v>16</v>
      </c>
      <c r="H249" s="22" t="n">
        <v>640.91</v>
      </c>
      <c r="I249" s="15" t="str">
        <f aca="false">UPPER(TRIM(F249))</f>
        <v>PC-RCP-0600</v>
      </c>
      <c r="J249" s="15" t="str">
        <f aca="false">IFERROR(INDEX(Items!$C$2:$C$500,MATCH(I249,Items!$H$2:$H$500,0)),"UNKNOWN")</f>
        <v>Pipe</v>
      </c>
      <c r="K249" s="24" t="n">
        <f aca="false">IF(J249="UNKNOWN","",INDEX(Items!$F$2:$F$500,MATCH(I249,Items!$H$2:$H$500,0)))</f>
        <v>640</v>
      </c>
      <c r="L249" s="24" t="n">
        <f aca="false">IF(ISNUMBER(H249),G249*H249,"")</f>
        <v>10254.56</v>
      </c>
      <c r="M249" s="28" t="n">
        <f aca="false">IF(ISNUMBER(H249),G249,0)</f>
        <v>16</v>
      </c>
      <c r="N249" s="31" t="n">
        <f aca="false">IF(AND(ISNUMBER(H249),ISNUMBER(K249)),1-H249/K249,"")</f>
        <v>-0.00142187499999991</v>
      </c>
      <c r="O249" s="24" t="n">
        <f aca="false">IF(J249="UNKNOWN","",INDEX(Cost_Rollup!$F$5:$F$16,MATCH(I249,Cost_Rollup!$A$5:$A$16,0)))</f>
        <v>429.94832</v>
      </c>
      <c r="P249" s="24" t="n">
        <f aca="false">IF(AND(ISNUMBER(L249),ISNUMBER(O249)),G249*O249,"")</f>
        <v>6879.17312</v>
      </c>
      <c r="Q249" s="15" t="str">
        <f aca="false">IF(H249="","Missing price; ","")&amp;IF(J249="UNKNOWN","Unknown item; ","")&amp;IF(AND(ISNUMBER(N249),N249&gt;Discount_Threshold),"Discount above limit; ","")</f>
        <v/>
      </c>
      <c r="R249" s="15" t="str">
        <f aca="false">IF(Q249="","OK","CHECK")</f>
        <v>OK</v>
      </c>
    </row>
    <row r="250" customFormat="false" ht="15" hidden="false" customHeight="false" outlineLevel="0" collapsed="false">
      <c r="A250" s="12" t="s">
        <v>521</v>
      </c>
      <c r="B250" s="30" t="n">
        <v>45996</v>
      </c>
      <c r="C250" s="12" t="s">
        <v>260</v>
      </c>
      <c r="D250" s="12" t="s">
        <v>258</v>
      </c>
      <c r="E250" s="12" t="s">
        <v>70</v>
      </c>
      <c r="F250" s="12" t="s">
        <v>115</v>
      </c>
      <c r="G250" s="23" t="n">
        <v>4</v>
      </c>
      <c r="H250" s="22" t="n">
        <v>883</v>
      </c>
      <c r="I250" s="15" t="str">
        <f aca="false">UPPER(TRIM(F250))</f>
        <v>PC-MH-1050B</v>
      </c>
      <c r="J250" s="15" t="str">
        <f aca="false">IFERROR(INDEX(Items!$C$2:$C$500,MATCH(I250,Items!$H$2:$H$500,0)),"UNKNOWN")</f>
        <v>Manhole</v>
      </c>
      <c r="K250" s="24" t="n">
        <f aca="false">IF(J250="UNKNOWN","",INDEX(Items!$F$2:$F$500,MATCH(I250,Items!$H$2:$H$500,0)))</f>
        <v>980</v>
      </c>
      <c r="L250" s="24" t="n">
        <f aca="false">IF(ISNUMBER(H250),G250*H250,"")</f>
        <v>3532</v>
      </c>
      <c r="M250" s="28" t="n">
        <f aca="false">IF(ISNUMBER(H250),G250,0)</f>
        <v>4</v>
      </c>
      <c r="N250" s="31" t="n">
        <f aca="false">IF(AND(ISNUMBER(H250),ISNUMBER(K250)),1-H250/K250,"")</f>
        <v>0.0989795918367347</v>
      </c>
      <c r="O250" s="24" t="n">
        <f aca="false">IF(J250="UNKNOWN","",INDEX(Cost_Rollup!$F$5:$F$16,MATCH(I250,Cost_Rollup!$A$5:$A$16,0)))</f>
        <v>635.433</v>
      </c>
      <c r="P250" s="24" t="n">
        <f aca="false">IF(AND(ISNUMBER(L250),ISNUMBER(O250)),G250*O250,"")</f>
        <v>2541.732</v>
      </c>
      <c r="Q250" s="15" t="str">
        <f aca="false">IF(H250="","Missing price; ","")&amp;IF(J250="UNKNOWN","Unknown item; ","")&amp;IF(AND(ISNUMBER(N250),N250&gt;Discount_Threshold),"Discount above limit; ","")</f>
        <v/>
      </c>
      <c r="R250" s="15" t="str">
        <f aca="false">IF(Q250="","OK","CHECK")</f>
        <v>OK</v>
      </c>
    </row>
    <row r="251" customFormat="false" ht="15" hidden="false" customHeight="false" outlineLevel="0" collapsed="false">
      <c r="A251" s="12" t="s">
        <v>522</v>
      </c>
      <c r="B251" s="30" t="n">
        <v>45999</v>
      </c>
      <c r="C251" s="12" t="s">
        <v>279</v>
      </c>
      <c r="D251" s="12" t="s">
        <v>280</v>
      </c>
      <c r="E251" s="12" t="s">
        <v>147</v>
      </c>
      <c r="F251" s="12" t="s">
        <v>120</v>
      </c>
      <c r="G251" s="23" t="n">
        <v>6</v>
      </c>
      <c r="H251" s="22" t="n">
        <v>480.87</v>
      </c>
      <c r="I251" s="15" t="str">
        <f aca="false">UPPER(TRIM(F251))</f>
        <v>PC-MH-1200R</v>
      </c>
      <c r="J251" s="15" t="str">
        <f aca="false">IFERROR(INDEX(Items!$C$2:$C$500,MATCH(I251,Items!$H$2:$H$500,0)),"UNKNOWN")</f>
        <v>Manhole</v>
      </c>
      <c r="K251" s="24" t="n">
        <f aca="false">IF(J251="UNKNOWN","",INDEX(Items!$F$2:$F$500,MATCH(I251,Items!$H$2:$H$500,0)))</f>
        <v>520</v>
      </c>
      <c r="L251" s="24" t="n">
        <f aca="false">IF(ISNUMBER(H251),G251*H251,"")</f>
        <v>2885.22</v>
      </c>
      <c r="M251" s="28" t="n">
        <f aca="false">IF(ISNUMBER(H251),G251,0)</f>
        <v>6</v>
      </c>
      <c r="N251" s="31" t="n">
        <f aca="false">IF(AND(ISNUMBER(H251),ISNUMBER(K251)),1-H251/K251,"")</f>
        <v>0.07525</v>
      </c>
      <c r="O251" s="24" t="n">
        <f aca="false">IF(J251="UNKNOWN","",INDEX(Cost_Rollup!$F$5:$F$16,MATCH(I251,Cost_Rollup!$A$5:$A$16,0)))</f>
        <v>381.98428</v>
      </c>
      <c r="P251" s="24" t="n">
        <f aca="false">IF(AND(ISNUMBER(L251),ISNUMBER(O251)),G251*O251,"")</f>
        <v>2291.90568</v>
      </c>
      <c r="Q251" s="15" t="str">
        <f aca="false">IF(H251="","Missing price; ","")&amp;IF(J251="UNKNOWN","Unknown item; ","")&amp;IF(AND(ISNUMBER(N251),N251&gt;Discount_Threshold),"Discount above limit; ","")</f>
        <v/>
      </c>
      <c r="R251" s="15" t="str">
        <f aca="false">IF(Q251="","OK","CHECK")</f>
        <v>OK</v>
      </c>
    </row>
    <row r="252" customFormat="false" ht="15" hidden="false" customHeight="false" outlineLevel="0" collapsed="false">
      <c r="A252" s="12" t="s">
        <v>523</v>
      </c>
      <c r="B252" s="30" t="n">
        <v>45999</v>
      </c>
      <c r="C252" s="12" t="s">
        <v>285</v>
      </c>
      <c r="D252" s="12" t="s">
        <v>266</v>
      </c>
      <c r="E252" s="12" t="s">
        <v>70</v>
      </c>
      <c r="F252" s="12" t="s">
        <v>103</v>
      </c>
      <c r="G252" s="23" t="n">
        <v>29</v>
      </c>
      <c r="H252" s="22" t="n">
        <v>635.73</v>
      </c>
      <c r="I252" s="15" t="str">
        <f aca="false">UPPER(TRIM(F252))</f>
        <v>PC-RCP-0600</v>
      </c>
      <c r="J252" s="15" t="str">
        <f aca="false">IFERROR(INDEX(Items!$C$2:$C$500,MATCH(I252,Items!$H$2:$H$500,0)),"UNKNOWN")</f>
        <v>Pipe</v>
      </c>
      <c r="K252" s="24" t="n">
        <f aca="false">IF(J252="UNKNOWN","",INDEX(Items!$F$2:$F$500,MATCH(I252,Items!$H$2:$H$500,0)))</f>
        <v>640</v>
      </c>
      <c r="L252" s="24" t="n">
        <f aca="false">IF(ISNUMBER(H252),G252*H252,"")</f>
        <v>18436.17</v>
      </c>
      <c r="M252" s="28" t="n">
        <f aca="false">IF(ISNUMBER(H252),G252,0)</f>
        <v>29</v>
      </c>
      <c r="N252" s="31" t="n">
        <f aca="false">IF(AND(ISNUMBER(H252),ISNUMBER(K252)),1-H252/K252,"")</f>
        <v>0.00667187499999999</v>
      </c>
      <c r="O252" s="24" t="n">
        <f aca="false">IF(J252="UNKNOWN","",INDEX(Cost_Rollup!$F$5:$F$16,MATCH(I252,Cost_Rollup!$A$5:$A$16,0)))</f>
        <v>429.94832</v>
      </c>
      <c r="P252" s="24" t="n">
        <f aca="false">IF(AND(ISNUMBER(L252),ISNUMBER(O252)),G252*O252,"")</f>
        <v>12468.50128</v>
      </c>
      <c r="Q252" s="15" t="str">
        <f aca="false">IF(H252="","Missing price; ","")&amp;IF(J252="UNKNOWN","Unknown item; ","")&amp;IF(AND(ISNUMBER(N252),N252&gt;Discount_Threshold),"Discount above limit; ","")</f>
        <v/>
      </c>
      <c r="R252" s="15" t="str">
        <f aca="false">IF(Q252="","OK","CHECK")</f>
        <v>OK</v>
      </c>
    </row>
    <row r="253" customFormat="false" ht="15" hidden="false" customHeight="false" outlineLevel="0" collapsed="false">
      <c r="A253" s="12" t="s">
        <v>524</v>
      </c>
      <c r="B253" s="30" t="n">
        <v>46001</v>
      </c>
      <c r="C253" s="12" t="s">
        <v>292</v>
      </c>
      <c r="D253" s="12" t="s">
        <v>277</v>
      </c>
      <c r="E253" s="12" t="s">
        <v>70</v>
      </c>
      <c r="F253" s="12" t="s">
        <v>125</v>
      </c>
      <c r="G253" s="23" t="n">
        <v>11</v>
      </c>
      <c r="H253" s="22" t="n">
        <v>1322.36</v>
      </c>
      <c r="I253" s="15" t="str">
        <f aca="false">UPPER(TRIM(F253))</f>
        <v>PC-BAR-F38</v>
      </c>
      <c r="J253" s="15" t="str">
        <f aca="false">IFERROR(INDEX(Items!$C$2:$C$500,MATCH(I253,Items!$H$2:$H$500,0)),"UNKNOWN")</f>
        <v>Barrier</v>
      </c>
      <c r="K253" s="24" t="n">
        <f aca="false">IF(J253="UNKNOWN","",INDEX(Items!$F$2:$F$500,MATCH(I253,Items!$H$2:$H$500,0)))</f>
        <v>1450</v>
      </c>
      <c r="L253" s="24" t="n">
        <f aca="false">IF(ISNUMBER(H253),G253*H253,"")</f>
        <v>14545.96</v>
      </c>
      <c r="M253" s="28" t="n">
        <f aca="false">IF(ISNUMBER(H253),G253,0)</f>
        <v>11</v>
      </c>
      <c r="N253" s="31" t="n">
        <f aca="false">IF(AND(ISNUMBER(H253),ISNUMBER(K253)),1-H253/K253,"")</f>
        <v>0.0880275862068967</v>
      </c>
      <c r="O253" s="24" t="n">
        <f aca="false">IF(J253="UNKNOWN","",INDEX(Cost_Rollup!$F$5:$F$16,MATCH(I253,Cost_Rollup!$A$5:$A$16,0)))</f>
        <v>978.66328</v>
      </c>
      <c r="P253" s="24" t="n">
        <f aca="false">IF(AND(ISNUMBER(L253),ISNUMBER(O253)),G253*O253,"")</f>
        <v>10765.29608</v>
      </c>
      <c r="Q253" s="15" t="str">
        <f aca="false">IF(H253="","Missing price; ","")&amp;IF(J253="UNKNOWN","Unknown item; ","")&amp;IF(AND(ISNUMBER(N253),N253&gt;Discount_Threshold),"Discount above limit; ","")</f>
        <v/>
      </c>
      <c r="R253" s="15" t="str">
        <f aca="false">IF(Q253="","OK","CHECK")</f>
        <v>OK</v>
      </c>
    </row>
    <row r="254" customFormat="false" ht="15" hidden="false" customHeight="false" outlineLevel="0" collapsed="false">
      <c r="A254" s="12" t="s">
        <v>525</v>
      </c>
      <c r="B254" s="30" t="n">
        <v>46003</v>
      </c>
      <c r="C254" s="12" t="s">
        <v>257</v>
      </c>
      <c r="D254" s="12" t="s">
        <v>258</v>
      </c>
      <c r="E254" s="12" t="s">
        <v>70</v>
      </c>
      <c r="F254" s="12" t="s">
        <v>110</v>
      </c>
      <c r="G254" s="23" t="n">
        <v>29</v>
      </c>
      <c r="H254" s="22" t="n">
        <v>1727.86</v>
      </c>
      <c r="I254" s="15" t="str">
        <f aca="false">UPPER(TRIM(F254))</f>
        <v>PC-RCP-1200</v>
      </c>
      <c r="J254" s="15" t="str">
        <f aca="false">IFERROR(INDEX(Items!$C$2:$C$500,MATCH(I254,Items!$H$2:$H$500,0)),"UNKNOWN")</f>
        <v>Pipe</v>
      </c>
      <c r="K254" s="24" t="n">
        <f aca="false">IF(J254="UNKNOWN","",INDEX(Items!$F$2:$F$500,MATCH(I254,Items!$H$2:$H$500,0)))</f>
        <v>1890</v>
      </c>
      <c r="L254" s="24" t="n">
        <f aca="false">IF(ISNUMBER(H254),G254*H254,"")</f>
        <v>50107.94</v>
      </c>
      <c r="M254" s="28" t="n">
        <f aca="false">IF(ISNUMBER(H254),G254,0)</f>
        <v>29</v>
      </c>
      <c r="N254" s="31" t="n">
        <f aca="false">IF(AND(ISNUMBER(H254),ISNUMBER(K254)),1-H254/K254,"")</f>
        <v>0.0857883597883599</v>
      </c>
      <c r="O254" s="24" t="n">
        <f aca="false">IF(J254="UNKNOWN","",INDEX(Cost_Rollup!$F$5:$F$16,MATCH(I254,Cost_Rollup!$A$5:$A$16,0)))</f>
        <v>1206.4054</v>
      </c>
      <c r="P254" s="24" t="n">
        <f aca="false">IF(AND(ISNUMBER(L254),ISNUMBER(O254)),G254*O254,"")</f>
        <v>34985.7566</v>
      </c>
      <c r="Q254" s="15" t="str">
        <f aca="false">IF(H254="","Missing price; ","")&amp;IF(J254="UNKNOWN","Unknown item; ","")&amp;IF(AND(ISNUMBER(N254),N254&gt;Discount_Threshold),"Discount above limit; ","")</f>
        <v/>
      </c>
      <c r="R254" s="15" t="str">
        <f aca="false">IF(Q254="","OK","CHECK")</f>
        <v>OK</v>
      </c>
    </row>
    <row r="255" customFormat="false" ht="15" hidden="false" customHeight="false" outlineLevel="0" collapsed="false">
      <c r="A255" s="12" t="s">
        <v>526</v>
      </c>
      <c r="B255" s="30" t="n">
        <v>46006</v>
      </c>
      <c r="C255" s="12" t="s">
        <v>292</v>
      </c>
      <c r="D255" s="12" t="s">
        <v>277</v>
      </c>
      <c r="E255" s="12" t="s">
        <v>70</v>
      </c>
      <c r="F255" s="12" t="s">
        <v>103</v>
      </c>
      <c r="G255" s="23" t="n">
        <v>15</v>
      </c>
      <c r="H255" s="22" t="n">
        <v>651.85</v>
      </c>
      <c r="I255" s="15" t="str">
        <f aca="false">UPPER(TRIM(F255))</f>
        <v>PC-RCP-0600</v>
      </c>
      <c r="J255" s="15" t="str">
        <f aca="false">IFERROR(INDEX(Items!$C$2:$C$500,MATCH(I255,Items!$H$2:$H$500,0)),"UNKNOWN")</f>
        <v>Pipe</v>
      </c>
      <c r="K255" s="24" t="n">
        <f aca="false">IF(J255="UNKNOWN","",INDEX(Items!$F$2:$F$500,MATCH(I255,Items!$H$2:$H$500,0)))</f>
        <v>640</v>
      </c>
      <c r="L255" s="24" t="n">
        <f aca="false">IF(ISNUMBER(H255),G255*H255,"")</f>
        <v>9777.75</v>
      </c>
      <c r="M255" s="28" t="n">
        <f aca="false">IF(ISNUMBER(H255),G255,0)</f>
        <v>15</v>
      </c>
      <c r="N255" s="31" t="n">
        <f aca="false">IF(AND(ISNUMBER(H255),ISNUMBER(K255)),1-H255/K255,"")</f>
        <v>-0.018515625</v>
      </c>
      <c r="O255" s="24" t="n">
        <f aca="false">IF(J255="UNKNOWN","",INDEX(Cost_Rollup!$F$5:$F$16,MATCH(I255,Cost_Rollup!$A$5:$A$16,0)))</f>
        <v>429.94832</v>
      </c>
      <c r="P255" s="24" t="n">
        <f aca="false">IF(AND(ISNUMBER(L255),ISNUMBER(O255)),G255*O255,"")</f>
        <v>6449.2248</v>
      </c>
      <c r="Q255" s="15" t="str">
        <f aca="false">IF(H255="","Missing price; ","")&amp;IF(J255="UNKNOWN","Unknown item; ","")&amp;IF(AND(ISNUMBER(N255),N255&gt;Discount_Threshold),"Discount above limit; ","")</f>
        <v/>
      </c>
      <c r="R255" s="15" t="str">
        <f aca="false">IF(Q255="","OK","CHECK")</f>
        <v>OK</v>
      </c>
    </row>
    <row r="256" customFormat="false" ht="15" hidden="false" customHeight="false" outlineLevel="0" collapsed="false">
      <c r="A256" s="12" t="s">
        <v>527</v>
      </c>
      <c r="B256" s="30" t="n">
        <v>46006</v>
      </c>
      <c r="C256" s="12" t="s">
        <v>276</v>
      </c>
      <c r="D256" s="12" t="s">
        <v>277</v>
      </c>
      <c r="E256" s="12" t="s">
        <v>70</v>
      </c>
      <c r="F256" s="12" t="s">
        <v>110</v>
      </c>
      <c r="G256" s="23" t="n">
        <v>7</v>
      </c>
      <c r="H256" s="22" t="n">
        <v>1907.8</v>
      </c>
      <c r="I256" s="15" t="str">
        <f aca="false">UPPER(TRIM(F256))</f>
        <v>PC-RCP-1200</v>
      </c>
      <c r="J256" s="15" t="str">
        <f aca="false">IFERROR(INDEX(Items!$C$2:$C$500,MATCH(I256,Items!$H$2:$H$500,0)),"UNKNOWN")</f>
        <v>Pipe</v>
      </c>
      <c r="K256" s="24" t="n">
        <f aca="false">IF(J256="UNKNOWN","",INDEX(Items!$F$2:$F$500,MATCH(I256,Items!$H$2:$H$500,0)))</f>
        <v>1890</v>
      </c>
      <c r="L256" s="24" t="n">
        <f aca="false">IF(ISNUMBER(H256),G256*H256,"")</f>
        <v>13354.6</v>
      </c>
      <c r="M256" s="28" t="n">
        <f aca="false">IF(ISNUMBER(H256),G256,0)</f>
        <v>7</v>
      </c>
      <c r="N256" s="31" t="n">
        <f aca="false">IF(AND(ISNUMBER(H256),ISNUMBER(K256)),1-H256/K256,"")</f>
        <v>-0.00941798941798933</v>
      </c>
      <c r="O256" s="24" t="n">
        <f aca="false">IF(J256="UNKNOWN","",INDEX(Cost_Rollup!$F$5:$F$16,MATCH(I256,Cost_Rollup!$A$5:$A$16,0)))</f>
        <v>1206.4054</v>
      </c>
      <c r="P256" s="24" t="n">
        <f aca="false">IF(AND(ISNUMBER(L256),ISNUMBER(O256)),G256*O256,"")</f>
        <v>8444.8378</v>
      </c>
      <c r="Q256" s="15" t="str">
        <f aca="false">IF(H256="","Missing price; ","")&amp;IF(J256="UNKNOWN","Unknown item; ","")&amp;IF(AND(ISNUMBER(N256),N256&gt;Discount_Threshold),"Discount above limit; ","")</f>
        <v/>
      </c>
      <c r="R256" s="15" t="str">
        <f aca="false">IF(Q256="","OK","CHECK")</f>
        <v>OK</v>
      </c>
    </row>
    <row r="257" customFormat="false" ht="15" hidden="false" customHeight="false" outlineLevel="0" collapsed="false">
      <c r="A257" s="12" t="s">
        <v>528</v>
      </c>
      <c r="B257" s="30" t="n">
        <v>46006</v>
      </c>
      <c r="C257" s="12" t="s">
        <v>285</v>
      </c>
      <c r="D257" s="12" t="s">
        <v>266</v>
      </c>
      <c r="E257" s="12" t="s">
        <v>70</v>
      </c>
      <c r="F257" s="12" t="s">
        <v>110</v>
      </c>
      <c r="G257" s="23" t="n">
        <v>18</v>
      </c>
      <c r="H257" s="22" t="n">
        <v>1962.09</v>
      </c>
      <c r="I257" s="15" t="str">
        <f aca="false">UPPER(TRIM(F257))</f>
        <v>PC-RCP-1200</v>
      </c>
      <c r="J257" s="15" t="str">
        <f aca="false">IFERROR(INDEX(Items!$C$2:$C$500,MATCH(I257,Items!$H$2:$H$500,0)),"UNKNOWN")</f>
        <v>Pipe</v>
      </c>
      <c r="K257" s="24" t="n">
        <f aca="false">IF(J257="UNKNOWN","",INDEX(Items!$F$2:$F$500,MATCH(I257,Items!$H$2:$H$500,0)))</f>
        <v>1890</v>
      </c>
      <c r="L257" s="24" t="n">
        <f aca="false">IF(ISNUMBER(H257),G257*H257,"")</f>
        <v>35317.62</v>
      </c>
      <c r="M257" s="28" t="n">
        <f aca="false">IF(ISNUMBER(H257),G257,0)</f>
        <v>18</v>
      </c>
      <c r="N257" s="31" t="n">
        <f aca="false">IF(AND(ISNUMBER(H257),ISNUMBER(K257)),1-H257/K257,"")</f>
        <v>-0.038142857142857</v>
      </c>
      <c r="O257" s="24" t="n">
        <f aca="false">IF(J257="UNKNOWN","",INDEX(Cost_Rollup!$F$5:$F$16,MATCH(I257,Cost_Rollup!$A$5:$A$16,0)))</f>
        <v>1206.4054</v>
      </c>
      <c r="P257" s="24" t="n">
        <f aca="false">IF(AND(ISNUMBER(L257),ISNUMBER(O257)),G257*O257,"")</f>
        <v>21715.2972</v>
      </c>
      <c r="Q257" s="15" t="str">
        <f aca="false">IF(H257="","Missing price; ","")&amp;IF(J257="UNKNOWN","Unknown item; ","")&amp;IF(AND(ISNUMBER(N257),N257&gt;Discount_Threshold),"Discount above limit; ","")</f>
        <v/>
      </c>
      <c r="R257" s="15" t="str">
        <f aca="false">IF(Q257="","OK","CHECK")</f>
        <v>OK</v>
      </c>
    </row>
    <row r="258" customFormat="false" ht="15" hidden="false" customHeight="false" outlineLevel="0" collapsed="false">
      <c r="A258" s="12" t="s">
        <v>529</v>
      </c>
      <c r="B258" s="30" t="n">
        <v>46010</v>
      </c>
      <c r="C258" s="12" t="s">
        <v>263</v>
      </c>
      <c r="D258" s="12" t="s">
        <v>258</v>
      </c>
      <c r="E258" s="12" t="s">
        <v>70</v>
      </c>
      <c r="F258" s="12" t="s">
        <v>110</v>
      </c>
      <c r="G258" s="23" t="n">
        <v>24</v>
      </c>
      <c r="H258" s="22" t="n">
        <v>1841.22</v>
      </c>
      <c r="I258" s="15" t="str">
        <f aca="false">UPPER(TRIM(F258))</f>
        <v>PC-RCP-1200</v>
      </c>
      <c r="J258" s="15" t="str">
        <f aca="false">IFERROR(INDEX(Items!$C$2:$C$500,MATCH(I258,Items!$H$2:$H$500,0)),"UNKNOWN")</f>
        <v>Pipe</v>
      </c>
      <c r="K258" s="24" t="n">
        <f aca="false">IF(J258="UNKNOWN","",INDEX(Items!$F$2:$F$500,MATCH(I258,Items!$H$2:$H$500,0)))</f>
        <v>1890</v>
      </c>
      <c r="L258" s="24" t="n">
        <f aca="false">IF(ISNUMBER(H258),G258*H258,"")</f>
        <v>44189.28</v>
      </c>
      <c r="M258" s="28" t="n">
        <f aca="false">IF(ISNUMBER(H258),G258,0)</f>
        <v>24</v>
      </c>
      <c r="N258" s="31" t="n">
        <f aca="false">IF(AND(ISNUMBER(H258),ISNUMBER(K258)),1-H258/K258,"")</f>
        <v>0.0258095238095238</v>
      </c>
      <c r="O258" s="24" t="n">
        <f aca="false">IF(J258="UNKNOWN","",INDEX(Cost_Rollup!$F$5:$F$16,MATCH(I258,Cost_Rollup!$A$5:$A$16,0)))</f>
        <v>1206.4054</v>
      </c>
      <c r="P258" s="24" t="n">
        <f aca="false">IF(AND(ISNUMBER(L258),ISNUMBER(O258)),G258*O258,"")</f>
        <v>28953.7296</v>
      </c>
      <c r="Q258" s="15" t="str">
        <f aca="false">IF(H258="","Missing price; ","")&amp;IF(J258="UNKNOWN","Unknown item; ","")&amp;IF(AND(ISNUMBER(N258),N258&gt;Discount_Threshold),"Discount above limit; ","")</f>
        <v/>
      </c>
      <c r="R258" s="15" t="str">
        <f aca="false">IF(Q258="","OK","CHECK")</f>
        <v>OK</v>
      </c>
    </row>
    <row r="259" customFormat="false" ht="15" hidden="false" customHeight="false" outlineLevel="0" collapsed="false">
      <c r="A259" s="12" t="s">
        <v>530</v>
      </c>
      <c r="B259" s="30" t="n">
        <v>46010</v>
      </c>
      <c r="C259" s="12" t="s">
        <v>276</v>
      </c>
      <c r="D259" s="12" t="s">
        <v>277</v>
      </c>
      <c r="E259" s="12" t="s">
        <v>70</v>
      </c>
      <c r="F259" s="12" t="s">
        <v>110</v>
      </c>
      <c r="G259" s="23" t="n">
        <v>27</v>
      </c>
      <c r="H259" s="22" t="n">
        <v>1940.74</v>
      </c>
      <c r="I259" s="15" t="str">
        <f aca="false">UPPER(TRIM(F259))</f>
        <v>PC-RCP-1200</v>
      </c>
      <c r="J259" s="15" t="str">
        <f aca="false">IFERROR(INDEX(Items!$C$2:$C$500,MATCH(I259,Items!$H$2:$H$500,0)),"UNKNOWN")</f>
        <v>Pipe</v>
      </c>
      <c r="K259" s="24" t="n">
        <f aca="false">IF(J259="UNKNOWN","",INDEX(Items!$F$2:$F$500,MATCH(I259,Items!$H$2:$H$500,0)))</f>
        <v>1890</v>
      </c>
      <c r="L259" s="24" t="n">
        <f aca="false">IF(ISNUMBER(H259),G259*H259,"")</f>
        <v>52399.98</v>
      </c>
      <c r="M259" s="28" t="n">
        <f aca="false">IF(ISNUMBER(H259),G259,0)</f>
        <v>27</v>
      </c>
      <c r="N259" s="31" t="n">
        <f aca="false">IF(AND(ISNUMBER(H259),ISNUMBER(K259)),1-H259/K259,"")</f>
        <v>-0.0268465608465609</v>
      </c>
      <c r="O259" s="24" t="n">
        <f aca="false">IF(J259="UNKNOWN","",INDEX(Cost_Rollup!$F$5:$F$16,MATCH(I259,Cost_Rollup!$A$5:$A$16,0)))</f>
        <v>1206.4054</v>
      </c>
      <c r="P259" s="24" t="n">
        <f aca="false">IF(AND(ISNUMBER(L259),ISNUMBER(O259)),G259*O259,"")</f>
        <v>32572.9458</v>
      </c>
      <c r="Q259" s="15" t="str">
        <f aca="false">IF(H259="","Missing price; ","")&amp;IF(J259="UNKNOWN","Unknown item; ","")&amp;IF(AND(ISNUMBER(N259),N259&gt;Discount_Threshold),"Discount above limit; ","")</f>
        <v/>
      </c>
      <c r="R259" s="15" t="str">
        <f aca="false">IF(Q259="","OK","CHECK")</f>
        <v>OK</v>
      </c>
    </row>
    <row r="260" customFormat="false" ht="15" hidden="false" customHeight="false" outlineLevel="0" collapsed="false">
      <c r="A260" s="12" t="s">
        <v>531</v>
      </c>
      <c r="B260" s="30" t="n">
        <v>46010</v>
      </c>
      <c r="C260" s="12" t="s">
        <v>285</v>
      </c>
      <c r="D260" s="12" t="s">
        <v>266</v>
      </c>
      <c r="E260" s="12" t="s">
        <v>70</v>
      </c>
      <c r="F260" s="12" t="s">
        <v>135</v>
      </c>
      <c r="G260" s="23" t="n">
        <v>120</v>
      </c>
      <c r="H260" s="22" t="n">
        <v>124.59</v>
      </c>
      <c r="I260" s="15" t="str">
        <f aca="false">UPPER(TRIM(F260))</f>
        <v>PC-HC-250</v>
      </c>
      <c r="J260" s="15" t="str">
        <f aca="false">IFERROR(INDEX(Items!$C$2:$C$500,MATCH(I260,Items!$H$2:$H$500,0)),"UNKNOWN")</f>
        <v>Slab</v>
      </c>
      <c r="K260" s="24" t="n">
        <f aca="false">IF(J260="UNKNOWN","",INDEX(Items!$F$2:$F$500,MATCH(I260,Items!$H$2:$H$500,0)))</f>
        <v>136</v>
      </c>
      <c r="L260" s="24" t="n">
        <f aca="false">IF(ISNUMBER(H260),G260*H260,"")</f>
        <v>14950.8</v>
      </c>
      <c r="M260" s="28" t="n">
        <f aca="false">IF(ISNUMBER(H260),G260,0)</f>
        <v>120</v>
      </c>
      <c r="N260" s="31" t="n">
        <f aca="false">IF(AND(ISNUMBER(H260),ISNUMBER(K260)),1-H260/K260,"")</f>
        <v>0.0838970588235294</v>
      </c>
      <c r="O260" s="24" t="n">
        <f aca="false">IF(J260="UNKNOWN","",INDEX(Cost_Rollup!$F$5:$F$16,MATCH(I260,Cost_Rollup!$A$5:$A$16,0)))</f>
        <v>92.94024</v>
      </c>
      <c r="P260" s="24" t="n">
        <f aca="false">IF(AND(ISNUMBER(L260),ISNUMBER(O260)),G260*O260,"")</f>
        <v>11152.8288</v>
      </c>
      <c r="Q260" s="15" t="str">
        <f aca="false">IF(H260="","Missing price; ","")&amp;IF(J260="UNKNOWN","Unknown item; ","")&amp;IF(AND(ISNUMBER(N260),N260&gt;Discount_Threshold),"Discount above limit; ","")</f>
        <v/>
      </c>
      <c r="R260" s="15" t="str">
        <f aca="false">IF(Q260="","OK","CHECK")</f>
        <v>OK</v>
      </c>
    </row>
    <row r="261" customFormat="false" ht="15" hidden="false" customHeight="false" outlineLevel="0" collapsed="false">
      <c r="A261" s="12" t="s">
        <v>532</v>
      </c>
      <c r="B261" s="30" t="n">
        <v>46013</v>
      </c>
      <c r="C261" s="12" t="s">
        <v>279</v>
      </c>
      <c r="D261" s="12" t="s">
        <v>280</v>
      </c>
      <c r="E261" s="12" t="s">
        <v>147</v>
      </c>
      <c r="F261" s="12" t="s">
        <v>131</v>
      </c>
      <c r="G261" s="23" t="n">
        <v>200</v>
      </c>
      <c r="H261" s="22" t="n">
        <v>109.67</v>
      </c>
      <c r="I261" s="15" t="str">
        <f aca="false">UPPER(TRIM(F261))</f>
        <v>PC-HC-200</v>
      </c>
      <c r="J261" s="15" t="str">
        <f aca="false">IFERROR(INDEX(Items!$C$2:$C$500,MATCH(I261,Items!$H$2:$H$500,0)),"UNKNOWN")</f>
        <v>Slab</v>
      </c>
      <c r="K261" s="24" t="n">
        <f aca="false">IF(J261="UNKNOWN","",INDEX(Items!$F$2:$F$500,MATCH(I261,Items!$H$2:$H$500,0)))</f>
        <v>118</v>
      </c>
      <c r="L261" s="24" t="n">
        <f aca="false">IF(ISNUMBER(H261),G261*H261,"")</f>
        <v>21934</v>
      </c>
      <c r="M261" s="28" t="n">
        <f aca="false">IF(ISNUMBER(H261),G261,0)</f>
        <v>200</v>
      </c>
      <c r="N261" s="31" t="n">
        <f aca="false">IF(AND(ISNUMBER(H261),ISNUMBER(K261)),1-H261/K261,"")</f>
        <v>0.0705932203389831</v>
      </c>
      <c r="O261" s="24" t="n">
        <f aca="false">IF(J261="UNKNOWN","",INDEX(Cost_Rollup!$F$5:$F$16,MATCH(I261,Cost_Rollup!$A$5:$A$16,0)))</f>
        <v>78.89382</v>
      </c>
      <c r="P261" s="24" t="n">
        <f aca="false">IF(AND(ISNUMBER(L261),ISNUMBER(O261)),G261*O261,"")</f>
        <v>15778.764</v>
      </c>
      <c r="Q261" s="15" t="str">
        <f aca="false">IF(H261="","Missing price; ","")&amp;IF(J261="UNKNOWN","Unknown item; ","")&amp;IF(AND(ISNUMBER(N261),N261&gt;Discount_Threshold),"Discount above limit; ","")</f>
        <v/>
      </c>
      <c r="R261" s="15" t="str">
        <f aca="false">IF(Q261="","OK","CHECK")</f>
        <v>OK</v>
      </c>
    </row>
  </sheetData>
  <autoFilter ref="A1:R261"/>
  <conditionalFormatting sqref="R2:R261">
    <cfRule type="cellIs" priority="2" operator="equal" aboveAverage="0" equalAverage="0" bottom="0" percent="0" rank="0" text="" dxfId="7">
      <formula>"CHECK"</formula>
    </cfRule>
    <cfRule type="cellIs" priority="3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F95"/>
    <pageSetUpPr fitToPage="tru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6" min="3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533</v>
      </c>
    </row>
    <row r="2" customFormat="false" ht="15" hidden="false" customHeight="false" outlineLevel="0" collapsed="false">
      <c r="A2" s="2" t="s">
        <v>534</v>
      </c>
    </row>
    <row r="4" customFormat="false" ht="30" hidden="false" customHeight="true" outlineLevel="0" collapsed="false">
      <c r="A4" s="21" t="s">
        <v>535</v>
      </c>
      <c r="B4" s="21" t="s">
        <v>536</v>
      </c>
      <c r="C4" s="21" t="s">
        <v>537</v>
      </c>
      <c r="D4" s="21" t="s">
        <v>538</v>
      </c>
      <c r="E4" s="21" t="s">
        <v>539</v>
      </c>
      <c r="F4" s="21" t="s">
        <v>540</v>
      </c>
      <c r="G4" s="21" t="s">
        <v>541</v>
      </c>
      <c r="H4" s="21" t="s">
        <v>542</v>
      </c>
      <c r="I4" s="21" t="s">
        <v>543</v>
      </c>
      <c r="J4" s="21" t="s">
        <v>544</v>
      </c>
      <c r="K4" s="21" t="s">
        <v>545</v>
      </c>
      <c r="L4" s="21" t="s">
        <v>546</v>
      </c>
      <c r="M4" s="21" t="s">
        <v>547</v>
      </c>
      <c r="N4" s="21" t="s">
        <v>548</v>
      </c>
      <c r="O4" s="21" t="s">
        <v>549</v>
      </c>
    </row>
    <row r="5" customFormat="false" ht="15" hidden="false" customHeight="false" outlineLevel="0" collapsed="false">
      <c r="A5" s="32" t="str">
        <f aca="false">Items!A2</f>
        <v>PC-RCP-0600</v>
      </c>
      <c r="B5" s="32" t="str">
        <f aca="false">Items!B2</f>
        <v>Reinforced concrete pipe 600 mm x 2.44 m</v>
      </c>
      <c r="C5" s="32" t="str">
        <f aca="false">Items!C2</f>
        <v>Pipe</v>
      </c>
      <c r="D5" s="24" t="n">
        <f aca="false">SUMIFS(BOM!$L$2:$L$500,BOM!$A$2:$A$500,A5)</f>
        <v>119.94832</v>
      </c>
      <c r="E5" s="33" t="n">
        <f aca="false">Items!G2</f>
        <v>310</v>
      </c>
      <c r="F5" s="24" t="n">
        <f aca="false">D5+E5</f>
        <v>429.94832</v>
      </c>
      <c r="G5" s="33" t="n">
        <f aca="false">Items!F2</f>
        <v>640</v>
      </c>
      <c r="H5" s="24" t="n">
        <f aca="false">IFERROR(SUMIFS(Sales!$L$2:$L$500,Sales!$I$2:$I$500,A5)/SUMIFS(Sales!$M$2:$M$500,Sales!$I$2:$I$500,A5),"")</f>
        <v>622.572607361963</v>
      </c>
      <c r="I5" s="24" t="n">
        <f aca="false">IF(ISNUMBER(H5),H5-F5,"")</f>
        <v>192.624287361963</v>
      </c>
      <c r="J5" s="31" t="n">
        <f aca="false">IF(ISNUMBER(H5),I5/H5,"")</f>
        <v>0.309400518243443</v>
      </c>
      <c r="K5" s="34" t="n">
        <f aca="false">IF(ISNUMBER(H5),F5/H5,"")</f>
        <v>0.690599481756557</v>
      </c>
      <c r="L5" s="31" t="n">
        <f aca="false">IF(D5&gt;0,SUMIFS(BOM!$L$2:$L$500,BOM!$A$2:$A$500,A5,BOM!$N$2:$N$500,"Domestic")/D5,"")</f>
        <v>0.735750196417924</v>
      </c>
      <c r="M5" s="28" t="n">
        <f aca="false">COUNTIF(BOM!$A$2:$A$500,A5)</f>
        <v>9</v>
      </c>
      <c r="N5" s="28" t="n">
        <f aca="false">COUNTIFS(BOM!$A$2:$A$500,A5,BOM!$S$2:$S$500,"CHECK")</f>
        <v>0</v>
      </c>
      <c r="O5" s="15" t="str">
        <f aca="false">IF(N5&gt;0,"Incomplete","Complete")</f>
        <v>Complete</v>
      </c>
    </row>
    <row r="6" customFormat="false" ht="15" hidden="false" customHeight="false" outlineLevel="0" collapsed="false">
      <c r="A6" s="32" t="str">
        <f aca="false">Items!A3</f>
        <v>PC-RCP-0900</v>
      </c>
      <c r="B6" s="32" t="str">
        <f aca="false">Items!B3</f>
        <v>Reinforced concrete pipe 900 mm x 2.44 m</v>
      </c>
      <c r="C6" s="32" t="str">
        <f aca="false">Items!C3</f>
        <v>Pipe</v>
      </c>
      <c r="D6" s="24" t="n">
        <f aca="false">SUMIFS(BOM!$L$2:$L$500,BOM!$A$2:$A$500,A6)</f>
        <v>210.4337265687</v>
      </c>
      <c r="E6" s="33" t="n">
        <f aca="false">Items!G3</f>
        <v>540</v>
      </c>
      <c r="F6" s="24" t="n">
        <f aca="false">D6+E6</f>
        <v>750.4337265687</v>
      </c>
      <c r="G6" s="33" t="n">
        <f aca="false">Items!F3</f>
        <v>1150</v>
      </c>
      <c r="H6" s="24" t="n">
        <f aca="false">IFERROR(SUMIFS(Sales!$L$2:$L$500,Sales!$I$2:$I$500,A6)/SUMIFS(Sales!$M$2:$M$500,Sales!$I$2:$I$500,A6),"")</f>
        <v>1110.29252124646</v>
      </c>
      <c r="I6" s="24" t="n">
        <f aca="false">IF(ISNUMBER(H6),H6-F6,"")</f>
        <v>359.858794677759</v>
      </c>
      <c r="J6" s="31" t="n">
        <f aca="false">IF(ISNUMBER(H6),I6/H6,"")</f>
        <v>0.324111698306107</v>
      </c>
      <c r="K6" s="34" t="n">
        <f aca="false">IF(ISNUMBER(H6),F6/H6,"")</f>
        <v>0.675888301693893</v>
      </c>
      <c r="L6" s="31" t="n">
        <f aca="false">IF(D6&gt;0,SUMIFS(BOM!$L$2:$L$500,BOM!$A$2:$A$500,A6,BOM!$N$2:$N$500,"Domestic")/D6,"")</f>
        <v>0.775132053347202</v>
      </c>
      <c r="M6" s="28" t="n">
        <f aca="false">COUNTIF(BOM!$A$2:$A$500,A6)</f>
        <v>9</v>
      </c>
      <c r="N6" s="28" t="n">
        <f aca="false">COUNTIFS(BOM!$A$2:$A$500,A6,BOM!$S$2:$S$500,"CHECK")</f>
        <v>0</v>
      </c>
      <c r="O6" s="15" t="str">
        <f aca="false">IF(N6&gt;0,"Incomplete","Complete")</f>
        <v>Complete</v>
      </c>
    </row>
    <row r="7" customFormat="false" ht="15" hidden="false" customHeight="false" outlineLevel="0" collapsed="false">
      <c r="A7" s="32" t="str">
        <f aca="false">Items!A4</f>
        <v>PC-RCP-1200</v>
      </c>
      <c r="B7" s="32" t="str">
        <f aca="false">Items!B4</f>
        <v>Reinforced concrete pipe 1200 mm x 2.44 m</v>
      </c>
      <c r="C7" s="32" t="str">
        <f aca="false">Items!C4</f>
        <v>Pipe</v>
      </c>
      <c r="D7" s="24" t="n">
        <f aca="false">SUMIFS(BOM!$L$2:$L$500,BOM!$A$2:$A$500,A7)</f>
        <v>346.4054</v>
      </c>
      <c r="E7" s="33" t="n">
        <f aca="false">Items!G4</f>
        <v>860</v>
      </c>
      <c r="F7" s="24" t="n">
        <f aca="false">D7+E7</f>
        <v>1206.4054</v>
      </c>
      <c r="G7" s="33" t="n">
        <f aca="false">Items!F4</f>
        <v>1890</v>
      </c>
      <c r="H7" s="24" t="n">
        <f aca="false">IFERROR(SUMIFS(Sales!$L$2:$L$500,Sales!$I$2:$I$500,A7)/SUMIFS(Sales!$M$2:$M$500,Sales!$I$2:$I$500,A7),"")</f>
        <v>1794.68867063492</v>
      </c>
      <c r="I7" s="24" t="n">
        <f aca="false">IF(ISNUMBER(H7),H7-F7,"")</f>
        <v>588.28327063492</v>
      </c>
      <c r="J7" s="31" t="n">
        <f aca="false">IF(ISNUMBER(H7),I7/H7,"")</f>
        <v>0.327791265560728</v>
      </c>
      <c r="K7" s="34" t="n">
        <f aca="false">IF(ISNUMBER(H7),F7/H7,"")</f>
        <v>0.672208734439272</v>
      </c>
      <c r="L7" s="31" t="n">
        <f aca="false">IF(D7&gt;0,SUMIFS(BOM!$L$2:$L$500,BOM!$A$2:$A$500,A7,BOM!$N$2:$N$500,"Domestic")/D7,"")</f>
        <v>0.772620750138422</v>
      </c>
      <c r="M7" s="28" t="n">
        <f aca="false">COUNTIF(BOM!$A$2:$A$500,A7)</f>
        <v>10</v>
      </c>
      <c r="N7" s="28" t="n">
        <f aca="false">COUNTIFS(BOM!$A$2:$A$500,A7,BOM!$S$2:$S$500,"CHECK")</f>
        <v>1</v>
      </c>
      <c r="O7" s="15" t="str">
        <f aca="false">IF(N7&gt;0,"Incomplete","Complete")</f>
        <v>Incomplete</v>
      </c>
    </row>
    <row r="8" customFormat="false" ht="15" hidden="false" customHeight="false" outlineLevel="0" collapsed="false">
      <c r="A8" s="32" t="str">
        <f aca="false">Items!A5</f>
        <v>PC-BOX-1812</v>
      </c>
      <c r="B8" s="32" t="str">
        <f aca="false">Items!B5</f>
        <v>Box culvert section 1.8 m x 1.2 m x 1.8 m</v>
      </c>
      <c r="C8" s="32" t="str">
        <f aca="false">Items!C5</f>
        <v>Box Culvert</v>
      </c>
      <c r="D8" s="24" t="n">
        <f aca="false">SUMIFS(BOM!$L$2:$L$500,BOM!$A$2:$A$500,A8)</f>
        <v>845.3624</v>
      </c>
      <c r="E8" s="33" t="n">
        <f aca="false">Items!G5</f>
        <v>1950</v>
      </c>
      <c r="F8" s="24" t="n">
        <f aca="false">D8+E8</f>
        <v>2795.3624</v>
      </c>
      <c r="G8" s="33" t="n">
        <f aca="false">Items!F5</f>
        <v>4200</v>
      </c>
      <c r="H8" s="24" t="n">
        <f aca="false">IFERROR(SUMIFS(Sales!$L$2:$L$500,Sales!$I$2:$I$500,A8)/SUMIFS(Sales!$M$2:$M$500,Sales!$I$2:$I$500,A8),"")</f>
        <v>3972.33</v>
      </c>
      <c r="I8" s="24" t="n">
        <f aca="false">IF(ISNUMBER(H8),H8-F8,"")</f>
        <v>1176.9676</v>
      </c>
      <c r="J8" s="31" t="n">
        <f aca="false">IF(ISNUMBER(H8),I8/H8,"")</f>
        <v>0.296291496426531</v>
      </c>
      <c r="K8" s="34" t="n">
        <f aca="false">IF(ISNUMBER(H8),F8/H8,"")</f>
        <v>0.703708503573469</v>
      </c>
      <c r="L8" s="31" t="n">
        <f aca="false">IF(D8&gt;0,SUMIFS(BOM!$L$2:$L$500,BOM!$A$2:$A$500,A8,BOM!$N$2:$N$500,"Domestic")/D8,"")</f>
        <v>0.524082925855231</v>
      </c>
      <c r="M8" s="28" t="n">
        <f aca="false">COUNTIF(BOM!$A$2:$A$500,A8)</f>
        <v>11</v>
      </c>
      <c r="N8" s="28" t="n">
        <f aca="false">COUNTIFS(BOM!$A$2:$A$500,A8,BOM!$S$2:$S$500,"CHECK")</f>
        <v>1</v>
      </c>
      <c r="O8" s="15" t="str">
        <f aca="false">IF(N8&gt;0,"Incomplete","Complete")</f>
        <v>Incomplete</v>
      </c>
    </row>
    <row r="9" customFormat="false" ht="15" hidden="false" customHeight="false" outlineLevel="0" collapsed="false">
      <c r="A9" s="32" t="str">
        <f aca="false">Items!A6</f>
        <v>PC-MH-1050B</v>
      </c>
      <c r="B9" s="32" t="str">
        <f aca="false">Items!B6</f>
        <v>Manhole base 1050 mm</v>
      </c>
      <c r="C9" s="32" t="str">
        <f aca="false">Items!C6</f>
        <v>Manhole</v>
      </c>
      <c r="D9" s="24" t="n">
        <f aca="false">SUMIFS(BOM!$L$2:$L$500,BOM!$A$2:$A$500,A9)</f>
        <v>165.433</v>
      </c>
      <c r="E9" s="33" t="n">
        <f aca="false">Items!G6</f>
        <v>470</v>
      </c>
      <c r="F9" s="24" t="n">
        <f aca="false">D9+E9</f>
        <v>635.433</v>
      </c>
      <c r="G9" s="33" t="n">
        <f aca="false">Items!F6</f>
        <v>980</v>
      </c>
      <c r="H9" s="24" t="n">
        <f aca="false">IFERROR(SUMIFS(Sales!$L$2:$L$500,Sales!$I$2:$I$500,A9)/SUMIFS(Sales!$M$2:$M$500,Sales!$I$2:$I$500,A9),"")</f>
        <v>929.321025641026</v>
      </c>
      <c r="I9" s="24" t="n">
        <f aca="false">IF(ISNUMBER(H9),H9-F9,"")</f>
        <v>293.888025641026</v>
      </c>
      <c r="J9" s="31" t="n">
        <f aca="false">IF(ISNUMBER(H9),I9/H9,"")</f>
        <v>0.316239509848933</v>
      </c>
      <c r="K9" s="34" t="n">
        <f aca="false">IF(ISNUMBER(H9),F9/H9,"")</f>
        <v>0.683760490151067</v>
      </c>
      <c r="L9" s="31" t="n">
        <f aca="false">IF(D9&gt;0,SUMIFS(BOM!$L$2:$L$500,BOM!$A$2:$A$500,A9,BOM!$N$2:$N$500,"Domestic")/D9,"")</f>
        <v>0.840808665743836</v>
      </c>
      <c r="M9" s="28" t="n">
        <f aca="false">COUNTIF(BOM!$A$2:$A$500,A9)</f>
        <v>9</v>
      </c>
      <c r="N9" s="28" t="n">
        <f aca="false">COUNTIFS(BOM!$A$2:$A$500,A9,BOM!$S$2:$S$500,"CHECK")</f>
        <v>0</v>
      </c>
      <c r="O9" s="15" t="str">
        <f aca="false">IF(N9&gt;0,"Incomplete","Complete")</f>
        <v>Complete</v>
      </c>
    </row>
    <row r="10" customFormat="false" ht="15" hidden="false" customHeight="false" outlineLevel="0" collapsed="false">
      <c r="A10" s="32" t="str">
        <f aca="false">Items!A7</f>
        <v>PC-MH-1200B</v>
      </c>
      <c r="B10" s="32" t="str">
        <f aca="false">Items!B7</f>
        <v>Manhole base 1200 mm</v>
      </c>
      <c r="C10" s="32" t="str">
        <f aca="false">Items!C7</f>
        <v>Manhole</v>
      </c>
      <c r="D10" s="24" t="n">
        <f aca="false">SUMIFS(BOM!$L$2:$L$500,BOM!$A$2:$A$500,A10)</f>
        <v>153.4208</v>
      </c>
      <c r="E10" s="33" t="n">
        <f aca="false">Items!G7</f>
        <v>600</v>
      </c>
      <c r="F10" s="24" t="n">
        <f aca="false">D10+E10</f>
        <v>753.4208</v>
      </c>
      <c r="G10" s="33" t="n">
        <f aca="false">Items!F7</f>
        <v>1240</v>
      </c>
      <c r="H10" s="24" t="n">
        <f aca="false">IFERROR(SUMIFS(Sales!$L$2:$L$500,Sales!$I$2:$I$500,A10)/SUMIFS(Sales!$M$2:$M$500,Sales!$I$2:$I$500,A10),"")</f>
        <v>1207.03835164835</v>
      </c>
      <c r="I10" s="24" t="n">
        <f aca="false">IF(ISNUMBER(H10),H10-F10,"")</f>
        <v>453.617551648352</v>
      </c>
      <c r="J10" s="31" t="n">
        <f aca="false">IF(ISNUMBER(H10),I10/H10,"")</f>
        <v>0.375810388318552</v>
      </c>
      <c r="K10" s="34" t="n">
        <f aca="false">IF(ISNUMBER(H10),F10/H10,"")</f>
        <v>0.624189611681448</v>
      </c>
      <c r="L10" s="31" t="n">
        <f aca="false">IF(D10&gt;0,SUMIFS(BOM!$L$2:$L$500,BOM!$A$2:$A$500,A10,BOM!$N$2:$N$500,"Domestic")/D10,"")</f>
        <v>0.806556216627732</v>
      </c>
      <c r="M10" s="28" t="n">
        <f aca="false">COUNTIF(BOM!$A$2:$A$500,A10)</f>
        <v>9</v>
      </c>
      <c r="N10" s="28" t="n">
        <f aca="false">COUNTIFS(BOM!$A$2:$A$500,A10,BOM!$S$2:$S$500,"CHECK")</f>
        <v>1</v>
      </c>
      <c r="O10" s="15" t="str">
        <f aca="false">IF(N10&gt;0,"Incomplete","Complete")</f>
        <v>Incomplete</v>
      </c>
    </row>
    <row r="11" customFormat="false" ht="15" hidden="false" customHeight="false" outlineLevel="0" collapsed="false">
      <c r="A11" s="32" t="str">
        <f aca="false">Items!A8</f>
        <v>PC-MH-1200R</v>
      </c>
      <c r="B11" s="32" t="str">
        <f aca="false">Items!B8</f>
        <v>Manhole riser 1200 mm x 600 mm</v>
      </c>
      <c r="C11" s="32" t="str">
        <f aca="false">Items!C8</f>
        <v>Manhole</v>
      </c>
      <c r="D11" s="24" t="n">
        <f aca="false">SUMIFS(BOM!$L$2:$L$500,BOM!$A$2:$A$500,A11)</f>
        <v>81.98428</v>
      </c>
      <c r="E11" s="33" t="n">
        <f aca="false">Items!G8</f>
        <v>300</v>
      </c>
      <c r="F11" s="24" t="n">
        <f aca="false">D11+E11</f>
        <v>381.98428</v>
      </c>
      <c r="G11" s="33" t="n">
        <f aca="false">Items!F8</f>
        <v>520</v>
      </c>
      <c r="H11" s="24" t="n">
        <f aca="false">IFERROR(SUMIFS(Sales!$L$2:$L$500,Sales!$I$2:$I$500,A11)/SUMIFS(Sales!$M$2:$M$500,Sales!$I$2:$I$500,A11),"")</f>
        <v>506.723222222222</v>
      </c>
      <c r="I11" s="24" t="n">
        <f aca="false">IF(ISNUMBER(H11),H11-F11,"")</f>
        <v>124.738942222222</v>
      </c>
      <c r="J11" s="31" t="n">
        <f aca="false">IF(ISNUMBER(H11),I11/H11,"")</f>
        <v>0.246167802760613</v>
      </c>
      <c r="K11" s="34" t="n">
        <f aca="false">IF(ISNUMBER(H11),F11/H11,"")</f>
        <v>0.753832197239387</v>
      </c>
      <c r="L11" s="31" t="n">
        <f aca="false">IF(D11&gt;0,SUMIFS(BOM!$L$2:$L$500,BOM!$A$2:$A$500,A11,BOM!$N$2:$N$500,"Domestic")/D11,"")</f>
        <v>0.668396429169104</v>
      </c>
      <c r="M11" s="28" t="n">
        <f aca="false">COUNTIF(BOM!$A$2:$A$500,A11)</f>
        <v>9</v>
      </c>
      <c r="N11" s="28" t="n">
        <f aca="false">COUNTIFS(BOM!$A$2:$A$500,A11,BOM!$S$2:$S$500,"CHECK")</f>
        <v>1</v>
      </c>
      <c r="O11" s="15" t="str">
        <f aca="false">IF(N11&gt;0,"Incomplete","Complete")</f>
        <v>Incomplete</v>
      </c>
    </row>
    <row r="12" customFormat="false" ht="15" hidden="false" customHeight="false" outlineLevel="0" collapsed="false">
      <c r="A12" s="32" t="str">
        <f aca="false">Items!A9</f>
        <v>PC-CB-0600</v>
      </c>
      <c r="B12" s="32" t="str">
        <f aca="false">Items!B9</f>
        <v>Catch basin 600 mm x 600 mm</v>
      </c>
      <c r="C12" s="32" t="str">
        <f aca="false">Items!C9</f>
        <v>Catch Basin</v>
      </c>
      <c r="D12" s="24" t="n">
        <f aca="false">SUMIFS(BOM!$L$2:$L$500,BOM!$A$2:$A$500,A12)</f>
        <v>301.0488</v>
      </c>
      <c r="E12" s="33" t="n">
        <f aca="false">Items!G9</f>
        <v>170</v>
      </c>
      <c r="F12" s="24" t="n">
        <f aca="false">D12+E12</f>
        <v>471.0488</v>
      </c>
      <c r="G12" s="33" t="n">
        <f aca="false">Items!F9</f>
        <v>690</v>
      </c>
      <c r="H12" s="24" t="n">
        <f aca="false">IFERROR(SUMIFS(Sales!$L$2:$L$500,Sales!$I$2:$I$500,A12)/SUMIFS(Sales!$M$2:$M$500,Sales!$I$2:$I$500,A12),"")</f>
        <v>668.008372093023</v>
      </c>
      <c r="I12" s="24" t="n">
        <f aca="false">IF(ISNUMBER(H12),H12-F12,"")</f>
        <v>196.959572093023</v>
      </c>
      <c r="J12" s="31" t="n">
        <f aca="false">IF(ISNUMBER(H12),I12/H12,"")</f>
        <v>0.294845963495792</v>
      </c>
      <c r="K12" s="34" t="n">
        <f aca="false">IF(ISNUMBER(H12),F12/H12,"")</f>
        <v>0.705154036504208</v>
      </c>
      <c r="L12" s="31" t="n">
        <f aca="false">IF(D12&gt;0,SUMIFS(BOM!$L$2:$L$500,BOM!$A$2:$A$500,A12,BOM!$N$2:$N$500,"Domestic")/D12,"")</f>
        <v>0.27745501725966</v>
      </c>
      <c r="M12" s="28" t="n">
        <f aca="false">COUNTIF(BOM!$A$2:$A$500,A12)</f>
        <v>9</v>
      </c>
      <c r="N12" s="28" t="n">
        <f aca="false">COUNTIFS(BOM!$A$2:$A$500,A12,BOM!$S$2:$S$500,"CHECK")</f>
        <v>0</v>
      </c>
      <c r="O12" s="15" t="str">
        <f aca="false">IF(N12&gt;0,"Incomplete","Complete")</f>
        <v>Complete</v>
      </c>
    </row>
    <row r="13" customFormat="false" ht="15" hidden="false" customHeight="false" outlineLevel="0" collapsed="false">
      <c r="A13" s="32" t="str">
        <f aca="false">Items!A10</f>
        <v>PC-BAR-F38</v>
      </c>
      <c r="B13" s="32" t="str">
        <f aca="false">Items!B10</f>
        <v>F-shape traffic barrier 3.8 m</v>
      </c>
      <c r="C13" s="32" t="str">
        <f aca="false">Items!C10</f>
        <v>Barrier</v>
      </c>
      <c r="D13" s="24" t="n">
        <f aca="false">SUMIFS(BOM!$L$2:$L$500,BOM!$A$2:$A$500,A13)</f>
        <v>328.66328</v>
      </c>
      <c r="E13" s="33" t="n">
        <f aca="false">Items!G10</f>
        <v>650</v>
      </c>
      <c r="F13" s="24" t="n">
        <f aca="false">D13+E13</f>
        <v>978.66328</v>
      </c>
      <c r="G13" s="33" t="n">
        <f aca="false">Items!F10</f>
        <v>1450</v>
      </c>
      <c r="H13" s="24" t="n">
        <f aca="false">IFERROR(SUMIFS(Sales!$L$2:$L$500,Sales!$I$2:$I$500,A13)/SUMIFS(Sales!$M$2:$M$500,Sales!$I$2:$I$500,A13),"")</f>
        <v>1408.04046439629</v>
      </c>
      <c r="I13" s="24" t="n">
        <f aca="false">IF(ISNUMBER(H13),H13-F13,"")</f>
        <v>429.377184396285</v>
      </c>
      <c r="J13" s="31" t="n">
        <f aca="false">IF(ISNUMBER(H13),I13/H13,"")</f>
        <v>0.304946622809158</v>
      </c>
      <c r="K13" s="34" t="n">
        <f aca="false">IF(ISNUMBER(H13),F13/H13,"")</f>
        <v>0.695053377190843</v>
      </c>
      <c r="L13" s="31" t="n">
        <f aca="false">IF(D13&gt;0,SUMIFS(BOM!$L$2:$L$500,BOM!$A$2:$A$500,A13,BOM!$N$2:$N$500,"Domestic")/D13,"")</f>
        <v>0.88071292905006</v>
      </c>
      <c r="M13" s="28" t="n">
        <f aca="false">COUNTIF(BOM!$A$2:$A$500,A13)</f>
        <v>9</v>
      </c>
      <c r="N13" s="28" t="n">
        <f aca="false">COUNTIFS(BOM!$A$2:$A$500,A13,BOM!$S$2:$S$500,"CHECK")</f>
        <v>0</v>
      </c>
      <c r="O13" s="15" t="str">
        <f aca="false">IF(N13&gt;0,"Incomplete","Complete")</f>
        <v>Complete</v>
      </c>
    </row>
    <row r="14" customFormat="false" ht="15" hidden="false" customHeight="false" outlineLevel="0" collapsed="false">
      <c r="A14" s="32" t="str">
        <f aca="false">Items!A11</f>
        <v>PC-BAR-SS60</v>
      </c>
      <c r="B14" s="32" t="str">
        <f aca="false">Items!B11</f>
        <v>Single-slope traffic barrier 6.0 m</v>
      </c>
      <c r="C14" s="32" t="str">
        <f aca="false">Items!C11</f>
        <v>Barrier</v>
      </c>
      <c r="D14" s="24" t="n">
        <f aca="false">SUMIFS(BOM!$L$2:$L$500,BOM!$A$2:$A$500,A14)</f>
        <v>603.5454</v>
      </c>
      <c r="E14" s="33" t="n">
        <f aca="false">Items!G11</f>
        <v>980</v>
      </c>
      <c r="F14" s="24" t="n">
        <f aca="false">D14+E14</f>
        <v>1583.5454</v>
      </c>
      <c r="G14" s="33" t="n">
        <f aca="false">Items!F11</f>
        <v>2350</v>
      </c>
      <c r="H14" s="24" t="n">
        <f aca="false">IFERROR(SUMIFS(Sales!$L$2:$L$500,Sales!$I$2:$I$500,A14)/SUMIFS(Sales!$M$2:$M$500,Sales!$I$2:$I$500,A14),"")</f>
        <v>2275.66262931034</v>
      </c>
      <c r="I14" s="24" t="n">
        <f aca="false">IF(ISNUMBER(H14),H14-F14,"")</f>
        <v>692.117229310345</v>
      </c>
      <c r="J14" s="31" t="n">
        <f aca="false">IF(ISNUMBER(H14),I14/H14,"")</f>
        <v>0.304138768372751</v>
      </c>
      <c r="K14" s="34" t="n">
        <f aca="false">IF(ISNUMBER(H14),F14/H14,"")</f>
        <v>0.695861231627249</v>
      </c>
      <c r="L14" s="31" t="n">
        <f aca="false">IF(D14&gt;0,SUMIFS(BOM!$L$2:$L$500,BOM!$A$2:$A$500,A14,BOM!$N$2:$N$500,"Domestic")/D14,"")</f>
        <v>0.82069219647768</v>
      </c>
      <c r="M14" s="28" t="n">
        <f aca="false">COUNTIF(BOM!$A$2:$A$500,A14)</f>
        <v>11</v>
      </c>
      <c r="N14" s="28" t="n">
        <f aca="false">COUNTIFS(BOM!$A$2:$A$500,A14,BOM!$S$2:$S$500,"CHECK")</f>
        <v>1</v>
      </c>
      <c r="O14" s="15" t="str">
        <f aca="false">IF(N14&gt;0,"Incomplete","Complete")</f>
        <v>Incomplete</v>
      </c>
    </row>
    <row r="15" customFormat="false" ht="15" hidden="false" customHeight="false" outlineLevel="0" collapsed="false">
      <c r="A15" s="32" t="str">
        <f aca="false">Items!A12</f>
        <v>PC-HC-200</v>
      </c>
      <c r="B15" s="32" t="str">
        <f aca="false">Items!B12</f>
        <v>Hollow-core slab 200 mm (per m2)</v>
      </c>
      <c r="C15" s="32" t="str">
        <f aca="false">Items!C12</f>
        <v>Slab</v>
      </c>
      <c r="D15" s="24" t="n">
        <f aca="false">SUMIFS(BOM!$L$2:$L$500,BOM!$A$2:$A$500,A15)</f>
        <v>26.89382</v>
      </c>
      <c r="E15" s="33" t="n">
        <f aca="false">Items!G12</f>
        <v>52</v>
      </c>
      <c r="F15" s="24" t="n">
        <f aca="false">D15+E15</f>
        <v>78.89382</v>
      </c>
      <c r="G15" s="33" t="n">
        <f aca="false">Items!F12</f>
        <v>118</v>
      </c>
      <c r="H15" s="24" t="n">
        <f aca="false">IFERROR(SUMIFS(Sales!$L$2:$L$500,Sales!$I$2:$I$500,A15)/SUMIFS(Sales!$M$2:$M$500,Sales!$I$2:$I$500,A15),"")</f>
        <v>115.201498717479</v>
      </c>
      <c r="I15" s="24" t="n">
        <f aca="false">IF(ISNUMBER(H15),H15-F15,"")</f>
        <v>36.3076787174789</v>
      </c>
      <c r="J15" s="31" t="n">
        <f aca="false">IF(ISNUMBER(H15),I15/H15,"")</f>
        <v>0.315166721975729</v>
      </c>
      <c r="K15" s="34" t="n">
        <f aca="false">IF(ISNUMBER(H15),F15/H15,"")</f>
        <v>0.684833278024271</v>
      </c>
      <c r="L15" s="31" t="n">
        <f aca="false">IF(D15&gt;0,SUMIFS(BOM!$L$2:$L$500,BOM!$A$2:$A$500,A15,BOM!$N$2:$N$500,"Domestic")/D15,"")</f>
        <v>0.6288433550905</v>
      </c>
      <c r="M15" s="28" t="n">
        <f aca="false">COUNTIF(BOM!$A$2:$A$500,A15)</f>
        <v>8</v>
      </c>
      <c r="N15" s="28" t="n">
        <f aca="false">COUNTIFS(BOM!$A$2:$A$500,A15,BOM!$S$2:$S$500,"CHECK")</f>
        <v>0</v>
      </c>
      <c r="O15" s="15" t="str">
        <f aca="false">IF(N15&gt;0,"Incomplete","Complete")</f>
        <v>Complete</v>
      </c>
    </row>
    <row r="16" customFormat="false" ht="15" hidden="false" customHeight="false" outlineLevel="0" collapsed="false">
      <c r="A16" s="32" t="str">
        <f aca="false">Items!A13</f>
        <v>PC-HC-250</v>
      </c>
      <c r="B16" s="32" t="str">
        <f aca="false">Items!B13</f>
        <v>Hollow-core slab 250 mm (per m2)</v>
      </c>
      <c r="C16" s="32" t="str">
        <f aca="false">Items!C13</f>
        <v>Slab</v>
      </c>
      <c r="D16" s="24" t="n">
        <f aca="false">SUMIFS(BOM!$L$2:$L$500,BOM!$A$2:$A$500,A16)</f>
        <v>32.94024</v>
      </c>
      <c r="E16" s="33" t="n">
        <f aca="false">Items!G13</f>
        <v>60</v>
      </c>
      <c r="F16" s="24" t="n">
        <f aca="false">D16+E16</f>
        <v>92.94024</v>
      </c>
      <c r="G16" s="33" t="n">
        <f aca="false">Items!F13</f>
        <v>136</v>
      </c>
      <c r="H16" s="24" t="n">
        <f aca="false">IFERROR(SUMIFS(Sales!$L$2:$L$500,Sales!$I$2:$I$500,A16)/SUMIFS(Sales!$M$2:$M$500,Sales!$I$2:$I$500,A16),"")</f>
        <v>133.726186409209</v>
      </c>
      <c r="I16" s="24" t="n">
        <f aca="false">IF(ISNUMBER(H16),H16-F16,"")</f>
        <v>40.785946409209</v>
      </c>
      <c r="J16" s="31" t="n">
        <f aca="false">IF(ISNUMBER(H16),I16/H16,"")</f>
        <v>0.304995958565676</v>
      </c>
      <c r="K16" s="34" t="n">
        <f aca="false">IF(ISNUMBER(H16),F16/H16,"")</f>
        <v>0.695004041434324</v>
      </c>
      <c r="L16" s="31" t="n">
        <f aca="false">IF(D16&gt;0,SUMIFS(BOM!$L$2:$L$500,BOM!$A$2:$A$500,A16,BOM!$N$2:$N$500,"Domestic")/D16,"")</f>
        <v>0.631841176627736</v>
      </c>
      <c r="M16" s="28" t="n">
        <f aca="false">COUNTIF(BOM!$A$2:$A$500,A16)</f>
        <v>8</v>
      </c>
      <c r="N16" s="28" t="n">
        <f aca="false">COUNTIFS(BOM!$A$2:$A$500,A16,BOM!$S$2:$S$500,"CHECK")</f>
        <v>0</v>
      </c>
      <c r="O16" s="15" t="str">
        <f aca="false">IF(N16&gt;0,"Incomplete","Complete")</f>
        <v>Complete</v>
      </c>
    </row>
    <row r="18" customFormat="false" ht="15" hidden="false" customHeight="false" outlineLevel="0" collapsed="false">
      <c r="A18" s="2" t="s">
        <v>550</v>
      </c>
    </row>
  </sheetData>
  <conditionalFormatting sqref="O5:O16">
    <cfRule type="cellIs" priority="2" operator="equal" aboveAverage="0" equalAverage="0" bottom="0" percent="0" rank="0" text="" dxfId="7">
      <formula>"Incomplete"</formula>
    </cfRule>
    <cfRule type="cellIs" priority="3" operator="equal" aboveAverage="0" equalAverage="0" bottom="0" percent="0" rank="0" text="" dxfId="8">
      <formula>"Complete"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F95"/>
    <pageSetUpPr fitToPage="tru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551</v>
      </c>
    </row>
    <row r="2" customFormat="false" ht="15" hidden="false" customHeight="false" outlineLevel="0" collapsed="false">
      <c r="A2" s="2" t="s">
        <v>552</v>
      </c>
    </row>
    <row r="4" customFormat="false" ht="30" hidden="false" customHeight="true" outlineLevel="0" collapsed="false">
      <c r="A4" s="21" t="s">
        <v>553</v>
      </c>
      <c r="B4" s="21" t="s">
        <v>554</v>
      </c>
      <c r="C4" s="21" t="s">
        <v>555</v>
      </c>
      <c r="D4" s="21" t="s">
        <v>547</v>
      </c>
      <c r="E4" s="35"/>
      <c r="F4" s="21" t="s">
        <v>556</v>
      </c>
      <c r="G4" s="21" t="s">
        <v>557</v>
      </c>
      <c r="H4" s="21" t="s">
        <v>558</v>
      </c>
      <c r="I4" s="21" t="s">
        <v>559</v>
      </c>
      <c r="J4" s="21" t="s">
        <v>554</v>
      </c>
      <c r="K4" s="21" t="s">
        <v>555</v>
      </c>
      <c r="L4" s="21" t="s">
        <v>560</v>
      </c>
    </row>
    <row r="5" customFormat="false" ht="15" hidden="false" customHeight="false" outlineLevel="0" collapsed="false">
      <c r="A5" s="12" t="s">
        <v>70</v>
      </c>
      <c r="B5" s="29" t="n">
        <f aca="false">SUMIFS(BOM!$Q$2:$Q$500,BOM!$M$2:$M$500,A5)</f>
        <v>1007765.73162414</v>
      </c>
      <c r="C5" s="31" t="n">
        <f aca="false">IF($B$13&gt;0,B5/$B$13,0)</f>
        <v>0.739654433214298</v>
      </c>
      <c r="D5" s="28" t="n">
        <f aca="false">COUNTIF(BOM!$M$2:$M$500,A5)</f>
        <v>59</v>
      </c>
      <c r="F5" s="32" t="str">
        <f aca="false">Suppliers!A2</f>
        <v>SUP-01</v>
      </c>
      <c r="G5" s="32" t="str">
        <f aca="false">Suppliers!B2</f>
        <v>Prairie Cement Co.</v>
      </c>
      <c r="H5" s="32" t="str">
        <f aca="false">Suppliers!C2</f>
        <v>CA</v>
      </c>
      <c r="I5" s="36" t="n">
        <f aca="false">Suppliers!E2</f>
        <v>7</v>
      </c>
      <c r="J5" s="29" t="n">
        <f aca="false">SUMIFS(BOM!$Q$2:$Q$500,BOM!$O$2:$O$500,F5)</f>
        <v>453017.3725</v>
      </c>
      <c r="K5" s="31" t="n">
        <f aca="false">IF($B$13&gt;0,J5/$B$13,0)</f>
        <v>0.332494246805455</v>
      </c>
      <c r="L5" s="32" t="str">
        <f aca="false">Suppliers!F2</f>
        <v/>
      </c>
    </row>
    <row r="6" customFormat="false" ht="15" hidden="false" customHeight="false" outlineLevel="0" collapsed="false">
      <c r="A6" s="12" t="s">
        <v>147</v>
      </c>
      <c r="B6" s="29" t="n">
        <f aca="false">SUMIFS(BOM!$Q$2:$Q$500,BOM!$M$2:$M$500,A6)</f>
        <v>93872.51234</v>
      </c>
      <c r="C6" s="31" t="n">
        <f aca="false">IF($B$13&gt;0,B6/$B$13,0)</f>
        <v>0.06889817517147</v>
      </c>
      <c r="D6" s="28" t="n">
        <f aca="false">COUNTIF(BOM!$M$2:$M$500,A6)</f>
        <v>37</v>
      </c>
      <c r="F6" s="32" t="str">
        <f aca="false">Suppliers!A3</f>
        <v>SUP-02</v>
      </c>
      <c r="G6" s="32" t="str">
        <f aca="false">Suppliers!B3</f>
        <v>Great Plains Ash Inc.</v>
      </c>
      <c r="H6" s="32" t="str">
        <f aca="false">Suppliers!C3</f>
        <v>US</v>
      </c>
      <c r="I6" s="36" t="n">
        <f aca="false">Suppliers!E3</f>
        <v>14</v>
      </c>
      <c r="J6" s="29" t="n">
        <f aca="false">SUMIFS(BOM!$Q$2:$Q$500,BOM!$O$2:$O$500,F6)</f>
        <v>38030.326488</v>
      </c>
      <c r="K6" s="31" t="n">
        <f aca="false">IF($B$13&gt;0,J6/$B$13,0)</f>
        <v>0.0279125383020341</v>
      </c>
      <c r="L6" s="32" t="str">
        <f aca="false">Suppliers!F3</f>
        <v/>
      </c>
    </row>
    <row r="7" customFormat="false" ht="15" hidden="false" customHeight="false" outlineLevel="0" collapsed="false">
      <c r="A7" s="12" t="s">
        <v>164</v>
      </c>
      <c r="B7" s="29" t="n">
        <f aca="false">SUMIFS(BOM!$Q$2:$Q$500,BOM!$M$2:$M$500,A7)</f>
        <v>21299.39</v>
      </c>
      <c r="C7" s="31" t="n">
        <f aca="false">IF($B$13&gt;0,B7/$B$13,0)</f>
        <v>0.0156327882005577</v>
      </c>
      <c r="D7" s="28" t="n">
        <f aca="false">COUNTIF(BOM!$M$2:$M$500,A7)</f>
        <v>2</v>
      </c>
      <c r="F7" s="32" t="str">
        <f aca="false">Suppliers!A4</f>
        <v>SUP-03</v>
      </c>
      <c r="G7" s="32" t="str">
        <f aca="false">Suppliers!B4</f>
        <v>Red Valley Aggregates</v>
      </c>
      <c r="H7" s="32" t="str">
        <f aca="false">Suppliers!C4</f>
        <v>CA</v>
      </c>
      <c r="I7" s="36" t="n">
        <f aca="false">Suppliers!E4</f>
        <v>3</v>
      </c>
      <c r="J7" s="29" t="n">
        <f aca="false">SUMIFS(BOM!$Q$2:$Q$500,BOM!$O$2:$O$500,F7)</f>
        <v>261070.194</v>
      </c>
      <c r="K7" s="31" t="n">
        <f aca="false">IF($B$13&gt;0,J7/$B$13,0)</f>
        <v>0.191613705757794</v>
      </c>
      <c r="L7" s="32" t="str">
        <f aca="false">Suppliers!F4</f>
        <v/>
      </c>
    </row>
    <row r="8" customFormat="false" ht="15" hidden="false" customHeight="false" outlineLevel="0" collapsed="false">
      <c r="A8" s="12" t="s">
        <v>156</v>
      </c>
      <c r="B8" s="29" t="n">
        <f aca="false">SUMIFS(BOM!$Q$2:$Q$500,BOM!$M$2:$M$500,A8)</f>
        <v>77541.726</v>
      </c>
      <c r="C8" s="31" t="n">
        <f aca="false">IF($B$13&gt;0,B8/$B$13,0)</f>
        <v>0.0569121171669084</v>
      </c>
      <c r="D8" s="28" t="n">
        <f aca="false">COUNTIF(BOM!$M$2:$M$500,A8)</f>
        <v>2</v>
      </c>
      <c r="F8" s="32" t="str">
        <f aca="false">Suppliers!A5</f>
        <v>SUP-04</v>
      </c>
      <c r="G8" s="32" t="str">
        <f aca="false">Suppliers!B5</f>
        <v>Midwest Admix Solutions</v>
      </c>
      <c r="H8" s="32" t="str">
        <f aca="false">Suppliers!C5</f>
        <v>US</v>
      </c>
      <c r="I8" s="36" t="n">
        <f aca="false">Suppliers!E5</f>
        <v>10</v>
      </c>
      <c r="J8" s="29" t="n">
        <f aca="false">SUMIFS(BOM!$Q$2:$Q$500,BOM!$O$2:$O$500,F8)</f>
        <v>54027.209852</v>
      </c>
      <c r="K8" s="31" t="n">
        <f aca="false">IF($B$13&gt;0,J8/$B$13,0)</f>
        <v>0.0396535266354294</v>
      </c>
      <c r="L8" s="32" t="str">
        <f aca="false">Suppliers!F5</f>
        <v/>
      </c>
    </row>
    <row r="9" customFormat="false" ht="15" hidden="false" customHeight="false" outlineLevel="0" collapsed="false">
      <c r="A9" s="12" t="s">
        <v>161</v>
      </c>
      <c r="B9" s="29" t="n">
        <f aca="false">SUMIFS(BOM!$Q$2:$Q$500,BOM!$M$2:$M$500,A9)</f>
        <v>71093.958</v>
      </c>
      <c r="C9" s="31" t="n">
        <f aca="false">IF($B$13&gt;0,B9/$B$13,0)</f>
        <v>0.0521797472957368</v>
      </c>
      <c r="D9" s="28" t="n">
        <f aca="false">COUNTIF(BOM!$M$2:$M$500,A9)</f>
        <v>2</v>
      </c>
      <c r="F9" s="32" t="str">
        <f aca="false">Suppliers!A6</f>
        <v>SUP-05</v>
      </c>
      <c r="G9" s="32" t="str">
        <f aca="false">Suppliers!B6</f>
        <v>Northern Rebar Mills</v>
      </c>
      <c r="H9" s="32" t="str">
        <f aca="false">Suppliers!C6</f>
        <v>CA</v>
      </c>
      <c r="I9" s="36" t="n">
        <f aca="false">Suppliers!E6</f>
        <v>10</v>
      </c>
      <c r="J9" s="29" t="n">
        <f aca="false">SUMIFS(BOM!$Q$2:$Q$500,BOM!$O$2:$O$500,F9)</f>
        <v>291095.127124144</v>
      </c>
      <c r="K9" s="31" t="n">
        <f aca="false">IF($B$13&gt;0,J9/$B$13,0)</f>
        <v>0.213650647673298</v>
      </c>
      <c r="L9" s="32" t="str">
        <f aca="false">Suppliers!F6</f>
        <v/>
      </c>
    </row>
    <row r="10" customFormat="false" ht="15" hidden="false" customHeight="false" outlineLevel="0" collapsed="false">
      <c r="A10" s="12" t="s">
        <v>167</v>
      </c>
      <c r="B10" s="29" t="n">
        <f aca="false">SUMIFS(BOM!$Q$2:$Q$500,BOM!$M$2:$M$500,A10)</f>
        <v>31312.2</v>
      </c>
      <c r="C10" s="31" t="n">
        <f aca="false">IF($B$13&gt;0,B10/$B$13,0)</f>
        <v>0.0229817375377183</v>
      </c>
      <c r="D10" s="28" t="n">
        <f aca="false">COUNTIF(BOM!$M$2:$M$500,A10)</f>
        <v>6</v>
      </c>
      <c r="F10" s="32" t="str">
        <f aca="false">Suppliers!A7</f>
        <v>SUP-06</v>
      </c>
      <c r="G10" s="32" t="str">
        <f aca="false">Suppliers!B7</f>
        <v>Anatolia Steel Trading</v>
      </c>
      <c r="H10" s="32" t="str">
        <f aca="false">Suppliers!C7</f>
        <v>TR</v>
      </c>
      <c r="I10" s="36" t="n">
        <f aca="false">Suppliers!E7</f>
        <v>60</v>
      </c>
      <c r="J10" s="29" t="n">
        <f aca="false">SUMIFS(BOM!$Q$2:$Q$500,BOM!$O$2:$O$500,F10)</f>
        <v>77541.726</v>
      </c>
      <c r="K10" s="31" t="n">
        <f aca="false">IF($B$13&gt;0,J10/$B$13,0)</f>
        <v>0.0569121171669084</v>
      </c>
      <c r="L10" s="32" t="str">
        <f aca="false">Suppliers!F7</f>
        <v>Long lead time</v>
      </c>
    </row>
    <row r="11" customFormat="false" ht="15" hidden="false" customHeight="false" outlineLevel="0" collapsed="false">
      <c r="A11" s="12" t="s">
        <v>221</v>
      </c>
      <c r="B11" s="29" t="n">
        <f aca="false">SUMIFS(BOM!$Q$2:$Q$500,BOM!$M$2:$M$500,A11)</f>
        <v>36120</v>
      </c>
      <c r="C11" s="31" t="n">
        <f aca="false">IF($B$13&gt;0,B11/$B$13,0)</f>
        <v>0.0265104451256183</v>
      </c>
      <c r="D11" s="28" t="n">
        <f aca="false">COUNTIF(BOM!$M$2:$M$500,A11)</f>
        <v>1</v>
      </c>
      <c r="F11" s="32" t="str">
        <f aca="false">Suppliers!A8</f>
        <v>SUP-07</v>
      </c>
      <c r="G11" s="32" t="str">
        <f aca="false">Suppliers!B8</f>
        <v>Lakeside Wire Products</v>
      </c>
      <c r="H11" s="32" t="str">
        <f aca="false">Suppliers!C8</f>
        <v>US</v>
      </c>
      <c r="I11" s="36" t="n">
        <f aca="false">Suppliers!E8</f>
        <v>14</v>
      </c>
      <c r="J11" s="29" t="n">
        <f aca="false">SUMIFS(BOM!$Q$2:$Q$500,BOM!$O$2:$O$500,F11)</f>
        <v>1814.976</v>
      </c>
      <c r="K11" s="31" t="n">
        <f aca="false">IF($B$13&gt;0,J11/$B$13,0)</f>
        <v>0.00133211023400648</v>
      </c>
      <c r="L11" s="32" t="str">
        <f aca="false">Suppliers!F8</f>
        <v/>
      </c>
    </row>
    <row r="12" customFormat="false" ht="15" hidden="false" customHeight="false" outlineLevel="0" collapsed="false">
      <c r="A12" s="12" t="s">
        <v>561</v>
      </c>
      <c r="B12" s="29" t="n">
        <f aca="false">SUMIFS(BOM!$Q$2:$Q$500,BOM!$M$2:$M$500,A12)</f>
        <v>23476.32</v>
      </c>
      <c r="C12" s="31" t="n">
        <f aca="false">IF($B$13&gt;0,B12/$B$13,0)</f>
        <v>0.0172305562876926</v>
      </c>
      <c r="D12" s="28" t="n">
        <f aca="false">COUNTIF(BOM!$M$2:$M$500,A12)</f>
        <v>1</v>
      </c>
      <c r="F12" s="32" t="str">
        <f aca="false">Suppliers!A9</f>
        <v>SUP-08</v>
      </c>
      <c r="G12" s="32" t="str">
        <f aca="false">Suppliers!B9</f>
        <v>Hanbit Strand Co.</v>
      </c>
      <c r="H12" s="32" t="str">
        <f aca="false">Suppliers!C9</f>
        <v>KR</v>
      </c>
      <c r="I12" s="36" t="n">
        <f aca="false">Suppliers!E9</f>
        <v>55</v>
      </c>
      <c r="J12" s="29" t="n">
        <f aca="false">SUMIFS(BOM!$Q$2:$Q$500,BOM!$O$2:$O$500,F12)</f>
        <v>71093.958</v>
      </c>
      <c r="K12" s="31" t="n">
        <f aca="false">IF($B$13&gt;0,J12/$B$13,0)</f>
        <v>0.0521797472957368</v>
      </c>
      <c r="L12" s="32" t="str">
        <f aca="false">Suppliers!F9</f>
        <v>Long lead time</v>
      </c>
    </row>
    <row r="13" customFormat="false" ht="15" hidden="false" customHeight="false" outlineLevel="0" collapsed="false">
      <c r="A13" s="37" t="s">
        <v>562</v>
      </c>
      <c r="B13" s="38" t="n">
        <f aca="false">SUM(B5:B12)</f>
        <v>1362481.83796414</v>
      </c>
      <c r="C13" s="39" t="n">
        <f aca="false">SUM(C5:C12)</f>
        <v>1</v>
      </c>
      <c r="D13" s="40" t="n">
        <f aca="false">SUM(D5:D12)</f>
        <v>110</v>
      </c>
      <c r="F13" s="32" t="str">
        <f aca="false">Suppliers!A10</f>
        <v>SUP-09</v>
      </c>
      <c r="G13" s="32" t="str">
        <f aca="false">Suppliers!B10</f>
        <v>Sierra Rubber Works</v>
      </c>
      <c r="H13" s="32" t="str">
        <f aca="false">Suppliers!C10</f>
        <v>MX</v>
      </c>
      <c r="I13" s="36" t="n">
        <f aca="false">Suppliers!E10</f>
        <v>21</v>
      </c>
      <c r="J13" s="29" t="n">
        <f aca="false">SUMIFS(BOM!$Q$2:$Q$500,BOM!$O$2:$O$500,F13)</f>
        <v>44775.71</v>
      </c>
      <c r="K13" s="31" t="n">
        <f aca="false">IF($B$13&gt;0,J13/$B$13,0)</f>
        <v>0.0328633444882502</v>
      </c>
      <c r="L13" s="32" t="str">
        <f aca="false">Suppliers!F10</f>
        <v/>
      </c>
    </row>
    <row r="14" customFormat="false" ht="15" hidden="false" customHeight="false" outlineLevel="0" collapsed="false">
      <c r="A14" s="15" t="s">
        <v>563</v>
      </c>
      <c r="B14" s="29" t="n">
        <f aca="false">SUM(BOM!$Q$2:$Q$500)</f>
        <v>1362481.83796414</v>
      </c>
      <c r="F14" s="32" t="str">
        <f aca="false">Suppliers!A11</f>
        <v>SUP-10</v>
      </c>
      <c r="G14" s="32" t="str">
        <f aca="false">Suppliers!B11</f>
        <v>Rhein Lifting Systems</v>
      </c>
      <c r="H14" s="32" t="str">
        <f aca="false">Suppliers!C11</f>
        <v>DE</v>
      </c>
      <c r="I14" s="36" t="n">
        <f aca="false">Suppliers!E11</f>
        <v>45</v>
      </c>
      <c r="J14" s="29" t="n">
        <f aca="false">SUMIFS(BOM!$Q$2:$Q$500,BOM!$O$2:$O$500,F14)</f>
        <v>31312.2</v>
      </c>
      <c r="K14" s="31" t="n">
        <f aca="false">IF($B$13&gt;0,J14/$B$13,0)</f>
        <v>0.0229817375377183</v>
      </c>
      <c r="L14" s="32" t="str">
        <f aca="false">Suppliers!F11</f>
        <v>Long lead time</v>
      </c>
    </row>
    <row r="15" customFormat="false" ht="15" hidden="false" customHeight="false" outlineLevel="0" collapsed="false">
      <c r="A15" s="15" t="s">
        <v>564</v>
      </c>
      <c r="B15" s="29" t="n">
        <f aca="false">B14-B13</f>
        <v>0</v>
      </c>
      <c r="F15" s="32" t="str">
        <f aca="false">Suppliers!A12</f>
        <v>SUP-12</v>
      </c>
      <c r="G15" s="32" t="str">
        <f aca="false">Suppliers!B12</f>
        <v>Westway Site Supply</v>
      </c>
      <c r="H15" s="32" t="str">
        <f aca="false">Suppliers!C12</f>
        <v>CA</v>
      </c>
      <c r="I15" s="36" t="n">
        <f aca="false">Suppliers!E12</f>
        <v>5</v>
      </c>
      <c r="J15" s="29" t="n">
        <f aca="false">SUMIFS(BOM!$Q$2:$Q$500,BOM!$O$2:$O$500,F15)</f>
        <v>2583.038</v>
      </c>
      <c r="K15" s="31" t="n">
        <f aca="false">IF($B$13&gt;0,J15/$B$13,0)</f>
        <v>0.00189583297775157</v>
      </c>
      <c r="L15" s="32" t="str">
        <f aca="false">Suppliers!F12</f>
        <v/>
      </c>
    </row>
    <row r="16" customFormat="false" ht="15" hidden="false" customHeight="false" outlineLevel="0" collapsed="false">
      <c r="A16" s="2" t="s">
        <v>565</v>
      </c>
      <c r="F16" s="15" t="s">
        <v>566</v>
      </c>
      <c r="G16" s="15" t="s">
        <v>567</v>
      </c>
      <c r="J16" s="29" t="n">
        <f aca="false">B13-SUM(J5:J15)</f>
        <v>36120</v>
      </c>
      <c r="K16" s="31" t="n">
        <f aca="false">IF($B$13&gt;0,J16/$B$13,0)</f>
        <v>0.0265104451256183</v>
      </c>
    </row>
    <row r="17" customFormat="false" ht="15" hidden="false" customHeight="false" outlineLevel="0" collapsed="false">
      <c r="F17" s="37" t="s">
        <v>568</v>
      </c>
      <c r="J17" s="38" t="n">
        <f aca="false">SUM(J5:J16)</f>
        <v>1362481.83796414</v>
      </c>
      <c r="K17" s="39" t="n">
        <f aca="false">SUM(K5:K16)</f>
        <v>1</v>
      </c>
    </row>
  </sheetData>
  <conditionalFormatting sqref="B15">
    <cfRule type="expression" priority="2" aboveAverage="0" equalAverage="0" bottom="0" percent="0" rank="0" text="" dxfId="7">
      <formula>ABS(B15)&gt;0.5</formula>
    </cfRule>
  </conditionalFormatting>
  <conditionalFormatting sqref="J16">
    <cfRule type="expression" priority="3" aboveAverage="0" equalAverage="0" bottom="0" percent="0" rank="0" text="" dxfId="7">
      <formula>J16&gt;0.5</formula>
    </cfRule>
  </conditionalFormatting>
  <conditionalFormatting sqref="L5:L15">
    <cfRule type="cellIs" priority="4" operator="equal" aboveAverage="0" equalAverage="0" bottom="0" percent="0" rank="0" text="" dxfId="7">
      <formula>"Long lead time"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F95"/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569</v>
      </c>
    </row>
    <row r="2" customFormat="false" ht="15" hidden="false" customHeight="false" outlineLevel="0" collapsed="false">
      <c r="A2" s="2" t="s">
        <v>570</v>
      </c>
    </row>
    <row r="3" customFormat="false" ht="15" hidden="false" customHeight="false" outlineLevel="0" collapsed="false">
      <c r="A3" s="3" t="s">
        <v>571</v>
      </c>
    </row>
    <row r="4" customFormat="false" ht="15" hidden="false" customHeight="false" outlineLevel="0" collapsed="false">
      <c r="A4" s="15" t="s">
        <v>572</v>
      </c>
      <c r="B4" s="41" t="n">
        <f aca="false">SUM(Sales!$L$2:$L$500)</f>
        <v>5848270.77</v>
      </c>
    </row>
    <row r="5" customFormat="false" ht="15" hidden="false" customHeight="false" outlineLevel="0" collapsed="false">
      <c r="A5" s="15" t="s">
        <v>573</v>
      </c>
      <c r="B5" s="41" t="n">
        <f aca="false">SUMIFS(Sales!$L$2:$L$500,Sales!$J$2:$J$500,"&lt;&gt;UNKNOWN")</f>
        <v>5829080.72</v>
      </c>
    </row>
    <row r="6" customFormat="false" ht="15" hidden="false" customHeight="false" outlineLevel="0" collapsed="false">
      <c r="A6" s="15" t="s">
        <v>574</v>
      </c>
      <c r="B6" s="41" t="n">
        <f aca="false">SUM(Sales!$P$2:$P$500)</f>
        <v>4016884.26295875</v>
      </c>
    </row>
    <row r="7" customFormat="false" ht="15" hidden="false" customHeight="false" outlineLevel="0" collapsed="false">
      <c r="A7" s="15" t="s">
        <v>575</v>
      </c>
      <c r="B7" s="41" t="n">
        <f aca="false">B5-B6</f>
        <v>1812196.45704125</v>
      </c>
    </row>
    <row r="8" customFormat="false" ht="15" hidden="false" customHeight="false" outlineLevel="0" collapsed="false">
      <c r="A8" s="15" t="s">
        <v>576</v>
      </c>
      <c r="B8" s="42" t="n">
        <f aca="false">IF(B5&gt;0,B7/B5,0)</f>
        <v>0.310888893822223</v>
      </c>
    </row>
    <row r="9" customFormat="false" ht="15" hidden="false" customHeight="false" outlineLevel="0" collapsed="false">
      <c r="A9" s="15" t="s">
        <v>577</v>
      </c>
      <c r="B9" s="43" t="n">
        <f aca="false">SUM(Sales!$G$2:$G$500)</f>
        <v>11577</v>
      </c>
    </row>
    <row r="10" customFormat="false" ht="15" hidden="false" customHeight="false" outlineLevel="0" collapsed="false">
      <c r="A10" s="15" t="s">
        <v>578</v>
      </c>
      <c r="B10" s="43" t="n">
        <f aca="false">COUNTA(Sales!$A$2:$A$500)</f>
        <v>260</v>
      </c>
    </row>
    <row r="11" customFormat="false" ht="15" hidden="false" customHeight="false" outlineLevel="0" collapsed="false">
      <c r="A11" s="15" t="s">
        <v>579</v>
      </c>
      <c r="B11" s="43" t="n">
        <f aca="false">COUNTIF(Sales!$R$2:$R$500,"CHECK")</f>
        <v>5</v>
      </c>
    </row>
    <row r="13" customFormat="false" ht="15" hidden="false" customHeight="false" outlineLevel="0" collapsed="false">
      <c r="A13" s="3" t="s">
        <v>580</v>
      </c>
    </row>
    <row r="14" customFormat="false" ht="15" hidden="false" customHeight="false" outlineLevel="0" collapsed="false">
      <c r="A14" s="44" t="s">
        <v>537</v>
      </c>
      <c r="B14" s="44" t="s">
        <v>581</v>
      </c>
      <c r="C14" s="44" t="s">
        <v>582</v>
      </c>
      <c r="D14" s="44" t="s">
        <v>574</v>
      </c>
      <c r="E14" s="44" t="s">
        <v>575</v>
      </c>
      <c r="F14" s="44" t="s">
        <v>583</v>
      </c>
    </row>
    <row r="15" customFormat="false" ht="15" hidden="false" customHeight="false" outlineLevel="0" collapsed="false">
      <c r="A15" s="12" t="s">
        <v>105</v>
      </c>
      <c r="B15" s="28" t="n">
        <f aca="false">SUMIFS(Sales!$G$2:$G$500,Sales!$J$2:$J$500,A15)</f>
        <v>1196</v>
      </c>
      <c r="C15" s="29" t="n">
        <f aca="false">SUMIFS(Sales!$L$2:$L$500,Sales!$J$2:$J$500,A15)</f>
        <v>1499415.02</v>
      </c>
      <c r="D15" s="29" t="n">
        <f aca="false">SUMIFS(Sales!$P$2:$P$500,Sales!$J$2:$J$500,A15)</f>
        <v>1013094.57939875</v>
      </c>
      <c r="E15" s="29" t="n">
        <f aca="false">C15-D15</f>
        <v>486320.440601249</v>
      </c>
      <c r="F15" s="31" t="n">
        <f aca="false">IF(C15&gt;0,E15/C15,0)</f>
        <v>0.324340115387966</v>
      </c>
    </row>
    <row r="16" customFormat="false" ht="15" hidden="false" customHeight="false" outlineLevel="0" collapsed="false">
      <c r="A16" s="12" t="s">
        <v>114</v>
      </c>
      <c r="B16" s="28" t="n">
        <f aca="false">SUMIFS(Sales!$G$2:$G$500,Sales!$J$2:$J$500,A16)</f>
        <v>127</v>
      </c>
      <c r="C16" s="29" t="n">
        <f aca="false">SUMIFS(Sales!$L$2:$L$500,Sales!$J$2:$J$500,A16)</f>
        <v>504485.91</v>
      </c>
      <c r="D16" s="29" t="n">
        <f aca="false">SUMIFS(Sales!$P$2:$P$500,Sales!$J$2:$J$500,A16)</f>
        <v>355011.0248</v>
      </c>
      <c r="E16" s="29" t="n">
        <f aca="false">C16-D16</f>
        <v>149474.8852</v>
      </c>
      <c r="F16" s="31" t="n">
        <f aca="false">IF(C16&gt;0,E16/C16,0)</f>
        <v>0.296291496426531</v>
      </c>
    </row>
    <row r="17" customFormat="false" ht="15" hidden="false" customHeight="false" outlineLevel="0" collapsed="false">
      <c r="A17" s="12" t="s">
        <v>117</v>
      </c>
      <c r="B17" s="28" t="n">
        <f aca="false">SUMIFS(Sales!$G$2:$G$500,Sales!$J$2:$J$500,A17)</f>
        <v>259</v>
      </c>
      <c r="C17" s="29" t="n">
        <f aca="false">SUMIFS(Sales!$L$2:$L$500,Sales!$J$2:$J$500,A17)</f>
        <v>227932.62</v>
      </c>
      <c r="D17" s="29" t="n">
        <f aca="false">SUMIFS(Sales!$P$2:$P$500,Sales!$J$2:$J$500,A17)</f>
        <v>152503.652</v>
      </c>
      <c r="E17" s="29" t="n">
        <f aca="false">C17-D17</f>
        <v>75428.968</v>
      </c>
      <c r="F17" s="31" t="n">
        <f aca="false">IF(C17&gt;0,E17/C17,0)</f>
        <v>0.33092660453778</v>
      </c>
    </row>
    <row r="18" customFormat="false" ht="15" hidden="false" customHeight="false" outlineLevel="0" collapsed="false">
      <c r="A18" s="12" t="s">
        <v>124</v>
      </c>
      <c r="B18" s="28" t="n">
        <f aca="false">SUMIFS(Sales!$G$2:$G$500,Sales!$J$2:$J$500,A18)</f>
        <v>172</v>
      </c>
      <c r="C18" s="29" t="n">
        <f aca="false">SUMIFS(Sales!$L$2:$L$500,Sales!$J$2:$J$500,A18)</f>
        <v>114897.44</v>
      </c>
      <c r="D18" s="29" t="n">
        <f aca="false">SUMIFS(Sales!$P$2:$P$500,Sales!$J$2:$J$500,A18)</f>
        <v>81020.3936</v>
      </c>
      <c r="E18" s="29" t="n">
        <f aca="false">C18-D18</f>
        <v>33877.0464</v>
      </c>
      <c r="F18" s="31" t="n">
        <f aca="false">IF(C18&gt;0,E18/C18,0)</f>
        <v>0.294845963495792</v>
      </c>
    </row>
    <row r="19" customFormat="false" ht="15" hidden="false" customHeight="false" outlineLevel="0" collapsed="false">
      <c r="A19" s="12" t="s">
        <v>127</v>
      </c>
      <c r="B19" s="28" t="n">
        <f aca="false">SUMIFS(Sales!$G$2:$G$500,Sales!$J$2:$J$500,A19)</f>
        <v>1342</v>
      </c>
      <c r="C19" s="29" t="n">
        <f aca="false">SUMIFS(Sales!$L$2:$L$500,Sales!$J$2:$J$500,A19)</f>
        <v>2493455.33</v>
      </c>
      <c r="D19" s="29" t="n">
        <f aca="false">SUMIFS(Sales!$P$2:$P$500,Sales!$J$2:$J$500,A19)</f>
        <v>1734364.07728</v>
      </c>
      <c r="E19" s="29" t="n">
        <f aca="false">C19-D19</f>
        <v>759091.25272</v>
      </c>
      <c r="F19" s="31" t="n">
        <f aca="false">IF(C19&gt;0,E19/C19,0)</f>
        <v>0.304433467721277</v>
      </c>
    </row>
    <row r="20" customFormat="false" ht="15" hidden="false" customHeight="false" outlineLevel="0" collapsed="false">
      <c r="A20" s="12" t="s">
        <v>133</v>
      </c>
      <c r="B20" s="28" t="n">
        <f aca="false">SUMIFS(Sales!$G$2:$G$500,Sales!$J$2:$J$500,A20)</f>
        <v>8470</v>
      </c>
      <c r="C20" s="29" t="n">
        <f aca="false">SUMIFS(Sales!$L$2:$L$500,Sales!$J$2:$J$500,A20)</f>
        <v>988894.4</v>
      </c>
      <c r="D20" s="29" t="n">
        <f aca="false">SUMIFS(Sales!$P$2:$P$500,Sales!$J$2:$J$500,A20)</f>
        <v>680890.53588</v>
      </c>
      <c r="E20" s="29" t="n">
        <f aca="false">C20-D20</f>
        <v>308003.86412</v>
      </c>
      <c r="F20" s="31" t="n">
        <f aca="false">IF(C20&gt;0,E20/C20,0)</f>
        <v>0.311462845901443</v>
      </c>
    </row>
    <row r="21" customFormat="false" ht="15" hidden="false" customHeight="false" outlineLevel="0" collapsed="false">
      <c r="A21" s="37" t="s">
        <v>568</v>
      </c>
      <c r="B21" s="40" t="n">
        <f aca="false">SUM(B15:B20)</f>
        <v>11566</v>
      </c>
      <c r="C21" s="38" t="n">
        <f aca="false">SUM(C15:C20)</f>
        <v>5829080.72</v>
      </c>
      <c r="D21" s="38" t="n">
        <f aca="false">SUM(D15:D20)</f>
        <v>4016884.26295875</v>
      </c>
      <c r="E21" s="38" t="n">
        <f aca="false">SUM(E15:E20)</f>
        <v>1812196.45704125</v>
      </c>
      <c r="F21" s="39" t="n">
        <f aca="false">IF(C21&gt;0,E21/C21,0)</f>
        <v>0.310888893822223</v>
      </c>
    </row>
    <row r="22" customFormat="false" ht="15" hidden="false" customHeight="false" outlineLevel="0" collapsed="false">
      <c r="A22" s="2" t="s">
        <v>584</v>
      </c>
    </row>
    <row r="24" customFormat="false" ht="15" hidden="false" customHeight="false" outlineLevel="0" collapsed="false">
      <c r="A24" s="3" t="s">
        <v>585</v>
      </c>
    </row>
    <row r="25" customFormat="false" ht="15" hidden="false" customHeight="false" outlineLevel="0" collapsed="false">
      <c r="A25" s="44" t="s">
        <v>558</v>
      </c>
      <c r="B25" s="44" t="s">
        <v>581</v>
      </c>
      <c r="C25" s="44" t="s">
        <v>582</v>
      </c>
      <c r="D25" s="44" t="s">
        <v>586</v>
      </c>
    </row>
    <row r="26" customFormat="false" ht="15" hidden="false" customHeight="false" outlineLevel="0" collapsed="false">
      <c r="A26" s="12" t="s">
        <v>70</v>
      </c>
      <c r="B26" s="28" t="n">
        <f aca="false">SUMIFS(Sales!$G$2:$G$500,Sales!$E$2:$E$500,A26)</f>
        <v>9407</v>
      </c>
      <c r="C26" s="29" t="n">
        <f aca="false">SUMIFS(Sales!$L$2:$L$500,Sales!$E$2:$E$500,A26)</f>
        <v>4909239.45</v>
      </c>
      <c r="D26" s="31" t="n">
        <f aca="false">IF($B$4&gt;0,C26/$B$4,0)</f>
        <v>0.839434363262219</v>
      </c>
    </row>
    <row r="27" customFormat="false" ht="15" hidden="false" customHeight="false" outlineLevel="0" collapsed="false">
      <c r="A27" s="12" t="s">
        <v>147</v>
      </c>
      <c r="B27" s="28" t="n">
        <f aca="false">SUMIFS(Sales!$G$2:$G$500,Sales!$E$2:$E$500,A27)</f>
        <v>2170</v>
      </c>
      <c r="C27" s="29" t="n">
        <f aca="false">SUMIFS(Sales!$L$2:$L$500,Sales!$E$2:$E$500,A27)</f>
        <v>939031.32</v>
      </c>
      <c r="D27" s="31" t="n">
        <f aca="false">IF($B$4&gt;0,C27/$B$4,0)</f>
        <v>0.160565636737781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6" min="5" style="0" width="1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587</v>
      </c>
    </row>
    <row r="2" customFormat="false" ht="15" hidden="false" customHeight="false" outlineLevel="0" collapsed="false">
      <c r="A2" s="2" t="s">
        <v>588</v>
      </c>
    </row>
    <row r="4" customFormat="false" ht="30" hidden="false" customHeight="true" outlineLevel="0" collapsed="false">
      <c r="A4" s="21" t="s">
        <v>589</v>
      </c>
      <c r="B4" s="21" t="s">
        <v>4</v>
      </c>
      <c r="C4" s="21" t="s">
        <v>590</v>
      </c>
      <c r="D4" s="21" t="s">
        <v>591</v>
      </c>
      <c r="E4" s="21" t="s">
        <v>592</v>
      </c>
      <c r="F4" s="21" t="s">
        <v>593</v>
      </c>
      <c r="G4" s="21" t="s">
        <v>594</v>
      </c>
    </row>
    <row r="5" customFormat="false" ht="15" hidden="false" customHeight="false" outlineLevel="0" collapsed="false">
      <c r="A5" s="45" t="s">
        <v>595</v>
      </c>
      <c r="B5" s="15" t="s">
        <v>8</v>
      </c>
      <c r="C5" s="15" t="s">
        <v>596</v>
      </c>
      <c r="D5" s="15" t="s">
        <v>597</v>
      </c>
      <c r="E5" s="28" t="n">
        <f aca="false">COUNTIF(Items!$I$2:$I$500,"*HS code*")</f>
        <v>1</v>
      </c>
      <c r="F5" s="15" t="s">
        <v>598</v>
      </c>
      <c r="G5" s="15" t="s">
        <v>599</v>
      </c>
    </row>
    <row r="6" customFormat="false" ht="15" hidden="false" customHeight="false" outlineLevel="0" collapsed="false">
      <c r="A6" s="45" t="s">
        <v>600</v>
      </c>
      <c r="B6" s="15" t="s">
        <v>12</v>
      </c>
      <c r="C6" s="15" t="s">
        <v>601</v>
      </c>
      <c r="D6" s="15" t="s">
        <v>602</v>
      </c>
      <c r="E6" s="28" t="n">
        <f aca="false">COUNTIF(Components!$M$2:$M$500,"*Missing cost*")</f>
        <v>1</v>
      </c>
      <c r="F6" s="15" t="s">
        <v>603</v>
      </c>
      <c r="G6" s="15" t="s">
        <v>604</v>
      </c>
    </row>
    <row r="7" customFormat="false" ht="15" hidden="false" customHeight="false" outlineLevel="0" collapsed="false">
      <c r="A7" s="45" t="s">
        <v>605</v>
      </c>
      <c r="B7" s="15" t="s">
        <v>12</v>
      </c>
      <c r="C7" s="15" t="s">
        <v>606</v>
      </c>
      <c r="D7" s="15" t="s">
        <v>607</v>
      </c>
      <c r="E7" s="28" t="n">
        <f aca="false">COUNTIF(Components!$M$2:$M$500,"*Missing origin*")</f>
        <v>1</v>
      </c>
      <c r="F7" s="15" t="s">
        <v>603</v>
      </c>
      <c r="G7" s="15" t="s">
        <v>608</v>
      </c>
    </row>
    <row r="8" customFormat="false" ht="15" hidden="false" customHeight="false" outlineLevel="0" collapsed="false">
      <c r="A8" s="45" t="s">
        <v>609</v>
      </c>
      <c r="B8" s="15" t="s">
        <v>12</v>
      </c>
      <c r="C8" s="15" t="s">
        <v>610</v>
      </c>
      <c r="D8" s="15" t="s">
        <v>611</v>
      </c>
      <c r="E8" s="28" t="n">
        <f aca="false">COUNTIF(Components!$M$2:$M$500,"*Unknown supplier*")</f>
        <v>1</v>
      </c>
      <c r="F8" s="15" t="s">
        <v>598</v>
      </c>
      <c r="G8" s="15" t="s">
        <v>612</v>
      </c>
    </row>
    <row r="9" customFormat="false" ht="15" hidden="false" customHeight="false" outlineLevel="0" collapsed="false">
      <c r="A9" s="45" t="s">
        <v>613</v>
      </c>
      <c r="B9" s="15" t="s">
        <v>12</v>
      </c>
      <c r="C9" s="15" t="s">
        <v>614</v>
      </c>
      <c r="D9" s="15" t="s">
        <v>615</v>
      </c>
      <c r="E9" s="28" t="n">
        <f aca="false">COUNTIF(Components!$M$2:$M$500,"*Duplicate*")</f>
        <v>2</v>
      </c>
      <c r="F9" s="15" t="s">
        <v>603</v>
      </c>
      <c r="G9" s="15" t="s">
        <v>616</v>
      </c>
    </row>
    <row r="10" customFormat="false" ht="15" hidden="false" customHeight="false" outlineLevel="0" collapsed="false">
      <c r="A10" s="45" t="s">
        <v>617</v>
      </c>
      <c r="B10" s="15" t="s">
        <v>12</v>
      </c>
      <c r="C10" s="15" t="s">
        <v>618</v>
      </c>
      <c r="D10" s="15" t="s">
        <v>619</v>
      </c>
      <c r="E10" s="28" t="n">
        <f aca="false">COUNTIF(Components!$M$2:$M$500,"*HS code*")</f>
        <v>1</v>
      </c>
      <c r="F10" s="15" t="s">
        <v>620</v>
      </c>
      <c r="G10" s="15" t="s">
        <v>621</v>
      </c>
    </row>
    <row r="11" customFormat="false" ht="15" hidden="false" customHeight="false" outlineLevel="0" collapsed="false">
      <c r="A11" s="45" t="s">
        <v>622</v>
      </c>
      <c r="B11" s="15" t="s">
        <v>14</v>
      </c>
      <c r="C11" s="15" t="s">
        <v>623</v>
      </c>
      <c r="D11" s="15" t="s">
        <v>624</v>
      </c>
      <c r="E11" s="28" t="n">
        <f aca="false">COUNTIF(BOM!$R$2:$R$500,"*Unknown component*")</f>
        <v>1</v>
      </c>
      <c r="F11" s="15" t="s">
        <v>603</v>
      </c>
      <c r="G11" s="15" t="s">
        <v>625</v>
      </c>
    </row>
    <row r="12" customFormat="false" ht="15" hidden="false" customHeight="false" outlineLevel="0" collapsed="false">
      <c r="A12" s="45" t="s">
        <v>626</v>
      </c>
      <c r="B12" s="15" t="s">
        <v>14</v>
      </c>
      <c r="C12" s="15" t="s">
        <v>627</v>
      </c>
      <c r="D12" s="15" t="s">
        <v>628</v>
      </c>
      <c r="E12" s="28" t="n">
        <f aca="false">COUNTIF(BOM!$R$2:$R$500,"*No unit conversion*")</f>
        <v>0</v>
      </c>
      <c r="F12" s="15" t="s">
        <v>603</v>
      </c>
      <c r="G12" s="15" t="s">
        <v>629</v>
      </c>
    </row>
    <row r="13" customFormat="false" ht="15" hidden="false" customHeight="false" outlineLevel="0" collapsed="false">
      <c r="A13" s="45" t="s">
        <v>630</v>
      </c>
      <c r="B13" s="15" t="s">
        <v>14</v>
      </c>
      <c r="C13" s="15" t="s">
        <v>631</v>
      </c>
      <c r="D13" s="15" t="s">
        <v>632</v>
      </c>
      <c r="E13" s="28" t="n">
        <f aca="false">COUNTIF(BOM!$R$2:$R$500,"*Missing cost*")</f>
        <v>3</v>
      </c>
      <c r="F13" s="15" t="s">
        <v>603</v>
      </c>
      <c r="G13" s="15" t="s">
        <v>633</v>
      </c>
    </row>
    <row r="14" customFormat="false" ht="15" hidden="false" customHeight="false" outlineLevel="0" collapsed="false">
      <c r="A14" s="45" t="s">
        <v>634</v>
      </c>
      <c r="B14" s="15" t="s">
        <v>14</v>
      </c>
      <c r="C14" s="15" t="s">
        <v>635</v>
      </c>
      <c r="D14" s="15" t="s">
        <v>636</v>
      </c>
      <c r="E14" s="28" t="n">
        <f aca="false">COUNTIF(BOM!$R$2:$R$500,"*Missing origin*")</f>
        <v>1</v>
      </c>
      <c r="F14" s="15" t="s">
        <v>598</v>
      </c>
      <c r="G14" s="15" t="s">
        <v>637</v>
      </c>
    </row>
    <row r="15" customFormat="false" ht="15" hidden="false" customHeight="false" outlineLevel="0" collapsed="false">
      <c r="A15" s="45" t="s">
        <v>638</v>
      </c>
      <c r="B15" s="15" t="s">
        <v>14</v>
      </c>
      <c r="C15" s="15" t="s">
        <v>639</v>
      </c>
      <c r="D15" s="15" t="s">
        <v>640</v>
      </c>
      <c r="E15" s="28" t="n">
        <f aca="false">SUMPRODUCT((BOM!$E$2:$E$500&lt;&gt;BOM!$H$2:$H$500)*(BOM!$H$2:$H$500&lt;&gt;""))</f>
        <v>1</v>
      </c>
      <c r="F15" s="15" t="s">
        <v>641</v>
      </c>
      <c r="G15" s="15" t="s">
        <v>642</v>
      </c>
    </row>
    <row r="16" customFormat="false" ht="15" hidden="false" customHeight="false" outlineLevel="0" collapsed="false">
      <c r="A16" s="45" t="s">
        <v>643</v>
      </c>
      <c r="B16" s="15" t="s">
        <v>14</v>
      </c>
      <c r="C16" s="15" t="s">
        <v>644</v>
      </c>
      <c r="D16" s="15" t="s">
        <v>645</v>
      </c>
      <c r="E16" s="28" t="n">
        <f aca="false">SUMPRODUCT((BOM!$C$2:$C$500&lt;&gt;"")*NOT(EXACT(BOM!$C$2:$C$500,BOM!$F$2:$F$500)))</f>
        <v>1</v>
      </c>
      <c r="F16" s="15" t="s">
        <v>641</v>
      </c>
      <c r="G16" s="15" t="s">
        <v>646</v>
      </c>
    </row>
    <row r="17" customFormat="false" ht="15" hidden="false" customHeight="false" outlineLevel="0" collapsed="false">
      <c r="A17" s="45" t="s">
        <v>647</v>
      </c>
      <c r="B17" s="15" t="s">
        <v>16</v>
      </c>
      <c r="C17" s="15" t="s">
        <v>648</v>
      </c>
      <c r="D17" s="15" t="s">
        <v>649</v>
      </c>
      <c r="E17" s="28" t="n">
        <f aca="false">COUNTIF(Sales!$Q$2:$Q$500,"*Missing price*")</f>
        <v>2</v>
      </c>
      <c r="F17" s="15" t="s">
        <v>603</v>
      </c>
      <c r="G17" s="15" t="s">
        <v>650</v>
      </c>
    </row>
    <row r="18" customFormat="false" ht="15" hidden="false" customHeight="false" outlineLevel="0" collapsed="false">
      <c r="A18" s="45" t="s">
        <v>651</v>
      </c>
      <c r="B18" s="15" t="s">
        <v>16</v>
      </c>
      <c r="C18" s="15" t="s">
        <v>652</v>
      </c>
      <c r="D18" s="15" t="s">
        <v>653</v>
      </c>
      <c r="E18" s="28" t="n">
        <f aca="false">COUNTIF(Sales!$Q$2:$Q$500,"*Unknown item*")</f>
        <v>1</v>
      </c>
      <c r="F18" s="15" t="s">
        <v>603</v>
      </c>
      <c r="G18" s="15" t="s">
        <v>654</v>
      </c>
    </row>
    <row r="19" customFormat="false" ht="15" hidden="false" customHeight="false" outlineLevel="0" collapsed="false">
      <c r="A19" s="45" t="s">
        <v>655</v>
      </c>
      <c r="B19" s="15" t="s">
        <v>16</v>
      </c>
      <c r="C19" s="15" t="s">
        <v>656</v>
      </c>
      <c r="D19" s="15" t="s">
        <v>657</v>
      </c>
      <c r="E19" s="28" t="n">
        <f aca="false">COUNTIF(Sales!$Q$2:$Q$500,"*Discount*")</f>
        <v>2</v>
      </c>
      <c r="F19" s="15" t="s">
        <v>598</v>
      </c>
      <c r="G19" s="15" t="s">
        <v>658</v>
      </c>
    </row>
    <row r="21" customFormat="false" ht="15" hidden="false" customHeight="false" outlineLevel="0" collapsed="false">
      <c r="C21" s="45" t="s">
        <v>659</v>
      </c>
    </row>
    <row r="22" customFormat="false" ht="15" hidden="false" customHeight="false" outlineLevel="0" collapsed="false">
      <c r="C22" s="15" t="s">
        <v>8</v>
      </c>
      <c r="E22" s="28" t="n">
        <f aca="false">COUNTIF(Items!$J$2:$J$500,"CHECK")</f>
        <v>1</v>
      </c>
    </row>
    <row r="23" customFormat="false" ht="15" hidden="false" customHeight="false" outlineLevel="0" collapsed="false">
      <c r="C23" s="15" t="s">
        <v>12</v>
      </c>
      <c r="E23" s="28" t="n">
        <f aca="false">COUNTIF(Components!$N$2:$N$500,"CHECK")</f>
        <v>6</v>
      </c>
    </row>
    <row r="24" customFormat="false" ht="15" hidden="false" customHeight="false" outlineLevel="0" collapsed="false">
      <c r="C24" s="15" t="s">
        <v>14</v>
      </c>
      <c r="E24" s="28" t="n">
        <f aca="false">COUNTIF(BOM!$S$2:$S$500,"CHECK")</f>
        <v>5</v>
      </c>
    </row>
    <row r="25" customFormat="false" ht="15" hidden="false" customHeight="false" outlineLevel="0" collapsed="false">
      <c r="C25" s="15" t="s">
        <v>16</v>
      </c>
      <c r="E25" s="28" t="n">
        <f aca="false">COUNTIF(Sales!$R$2:$R$500,"CHECK")</f>
        <v>5</v>
      </c>
    </row>
  </sheetData>
  <conditionalFormatting sqref="E5:E19">
    <cfRule type="expression" priority="2" aboveAverage="0" equalAverage="0" bottom="0" percent="0" rank="0" text="" dxfId="7">
      <formula>AND(E5&gt;0,F5&lt;&gt;"Info")</formula>
    </cfRule>
    <cfRule type="cellIs" priority="3" operator="equal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660</v>
      </c>
    </row>
    <row r="2" customFormat="false" ht="15" hidden="false" customHeight="false" outlineLevel="0" collapsed="false">
      <c r="A2" s="2" t="s">
        <v>661</v>
      </c>
    </row>
    <row r="4" customFormat="false" ht="30" hidden="false" customHeight="true" outlineLevel="0" collapsed="false">
      <c r="A4" s="20" t="s">
        <v>662</v>
      </c>
      <c r="B4" s="20" t="s">
        <v>663</v>
      </c>
      <c r="C4" s="20" t="s">
        <v>664</v>
      </c>
      <c r="D4" s="20" t="s">
        <v>665</v>
      </c>
      <c r="E4" s="20" t="s">
        <v>666</v>
      </c>
      <c r="F4" s="20" t="s">
        <v>667</v>
      </c>
      <c r="G4" s="20" t="s">
        <v>668</v>
      </c>
      <c r="H4" s="20" t="s">
        <v>669</v>
      </c>
    </row>
    <row r="5" customFormat="false" ht="23.85" hidden="false" customHeight="false" outlineLevel="0" collapsed="false">
      <c r="A5" s="45" t="s">
        <v>670</v>
      </c>
      <c r="B5" s="30" t="n">
        <v>46316</v>
      </c>
      <c r="C5" s="12" t="s">
        <v>605</v>
      </c>
      <c r="D5" s="12" t="s">
        <v>213</v>
      </c>
      <c r="E5" s="46" t="s">
        <v>671</v>
      </c>
      <c r="F5" s="12" t="s">
        <v>672</v>
      </c>
      <c r="G5" s="12" t="s">
        <v>673</v>
      </c>
      <c r="H5" s="12"/>
    </row>
    <row r="6" customFormat="false" ht="15" hidden="false" customHeight="false" outlineLevel="0" collapsed="false">
      <c r="A6" s="45" t="s">
        <v>674</v>
      </c>
      <c r="B6" s="30" t="n">
        <v>46316</v>
      </c>
      <c r="C6" s="12" t="s">
        <v>600</v>
      </c>
      <c r="D6" s="12" t="s">
        <v>223</v>
      </c>
      <c r="E6" s="46" t="s">
        <v>675</v>
      </c>
      <c r="F6" s="12" t="s">
        <v>672</v>
      </c>
      <c r="G6" s="12" t="s">
        <v>673</v>
      </c>
      <c r="H6" s="12"/>
    </row>
    <row r="7" customFormat="false" ht="23.85" hidden="false" customHeight="false" outlineLevel="0" collapsed="false">
      <c r="A7" s="45" t="s">
        <v>676</v>
      </c>
      <c r="B7" s="30" t="n">
        <v>46316</v>
      </c>
      <c r="C7" s="12" t="s">
        <v>609</v>
      </c>
      <c r="D7" s="12" t="s">
        <v>218</v>
      </c>
      <c r="E7" s="46" t="s">
        <v>677</v>
      </c>
      <c r="F7" s="12" t="s">
        <v>672</v>
      </c>
      <c r="G7" s="12" t="s">
        <v>673</v>
      </c>
      <c r="H7" s="12"/>
    </row>
    <row r="8" customFormat="false" ht="23.85" hidden="false" customHeight="false" outlineLevel="0" collapsed="false">
      <c r="A8" s="45" t="s">
        <v>678</v>
      </c>
      <c r="B8" s="30" t="n">
        <v>46316</v>
      </c>
      <c r="C8" s="12" t="s">
        <v>613</v>
      </c>
      <c r="D8" s="12" t="s">
        <v>198</v>
      </c>
      <c r="E8" s="46" t="s">
        <v>679</v>
      </c>
      <c r="F8" s="12" t="s">
        <v>672</v>
      </c>
      <c r="G8" s="12" t="s">
        <v>673</v>
      </c>
      <c r="H8" s="12"/>
    </row>
    <row r="9" customFormat="false" ht="23.85" hidden="false" customHeight="false" outlineLevel="0" collapsed="false">
      <c r="A9" s="45" t="s">
        <v>680</v>
      </c>
      <c r="B9" s="30" t="n">
        <v>46316</v>
      </c>
      <c r="C9" s="12" t="s">
        <v>622</v>
      </c>
      <c r="D9" s="12" t="s">
        <v>118</v>
      </c>
      <c r="E9" s="46" t="s">
        <v>681</v>
      </c>
      <c r="F9" s="12" t="s">
        <v>682</v>
      </c>
      <c r="G9" s="12" t="s">
        <v>673</v>
      </c>
      <c r="H9" s="12"/>
    </row>
    <row r="10" customFormat="false" ht="23.85" hidden="false" customHeight="false" outlineLevel="0" collapsed="false">
      <c r="A10" s="45" t="s">
        <v>683</v>
      </c>
      <c r="B10" s="30" t="n">
        <v>46316</v>
      </c>
      <c r="C10" s="12" t="s">
        <v>638</v>
      </c>
      <c r="D10" s="12" t="s">
        <v>108</v>
      </c>
      <c r="E10" s="46" t="s">
        <v>684</v>
      </c>
      <c r="F10" s="12" t="s">
        <v>682</v>
      </c>
      <c r="G10" s="12" t="s">
        <v>673</v>
      </c>
      <c r="H10" s="12"/>
    </row>
    <row r="11" customFormat="false" ht="23.85" hidden="false" customHeight="false" outlineLevel="0" collapsed="false">
      <c r="A11" s="45" t="s">
        <v>685</v>
      </c>
      <c r="B11" s="30" t="n">
        <v>46316</v>
      </c>
      <c r="C11" s="12" t="s">
        <v>595</v>
      </c>
      <c r="D11" s="12" t="s">
        <v>135</v>
      </c>
      <c r="E11" s="46" t="s">
        <v>686</v>
      </c>
      <c r="F11" s="12" t="s">
        <v>687</v>
      </c>
      <c r="G11" s="12" t="s">
        <v>673</v>
      </c>
      <c r="H11" s="12"/>
    </row>
    <row r="12" customFormat="false" ht="23.85" hidden="false" customHeight="false" outlineLevel="0" collapsed="false">
      <c r="A12" s="45" t="s">
        <v>688</v>
      </c>
      <c r="B12" s="30" t="n">
        <v>46316</v>
      </c>
      <c r="C12" s="12" t="s">
        <v>651</v>
      </c>
      <c r="D12" s="12" t="s">
        <v>506</v>
      </c>
      <c r="E12" s="46" t="s">
        <v>689</v>
      </c>
      <c r="F12" s="12" t="s">
        <v>16</v>
      </c>
      <c r="G12" s="12" t="s">
        <v>673</v>
      </c>
      <c r="H12" s="12"/>
    </row>
    <row r="13" customFormat="false" ht="23.85" hidden="false" customHeight="false" outlineLevel="0" collapsed="false">
      <c r="A13" s="45" t="s">
        <v>690</v>
      </c>
      <c r="B13" s="30" t="n">
        <v>46316</v>
      </c>
      <c r="C13" s="12" t="s">
        <v>655</v>
      </c>
      <c r="D13" s="12" t="s">
        <v>691</v>
      </c>
      <c r="E13" s="46" t="s">
        <v>692</v>
      </c>
      <c r="F13" s="12" t="s">
        <v>16</v>
      </c>
      <c r="G13" s="12" t="s">
        <v>673</v>
      </c>
      <c r="H13" s="12"/>
    </row>
    <row r="14" customFormat="false" ht="23.85" hidden="false" customHeight="false" outlineLevel="0" collapsed="false">
      <c r="A14" s="45" t="s">
        <v>693</v>
      </c>
      <c r="B14" s="30" t="n">
        <v>46316</v>
      </c>
      <c r="C14" s="12" t="s">
        <v>647</v>
      </c>
      <c r="D14" s="12" t="s">
        <v>691</v>
      </c>
      <c r="E14" s="46" t="s">
        <v>694</v>
      </c>
      <c r="F14" s="12" t="s">
        <v>695</v>
      </c>
      <c r="G14" s="12" t="s">
        <v>673</v>
      </c>
      <c r="H14" s="12"/>
    </row>
  </sheetData>
  <conditionalFormatting sqref="G5:G64">
    <cfRule type="cellIs" priority="2" operator="equal" aboveAverage="0" equalAverage="0" bottom="0" percent="0" rank="0" text="" dxfId="7">
      <formula>"Open"</formula>
    </cfRule>
    <cfRule type="cellIs" priority="3" operator="equal" aboveAverage="0" equalAverage="0" bottom="0" percent="0" rank="0" text="" dxfId="8">
      <formula>"Closed"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2026-10-21T20:26:49Z</dcterms:created>
  <dc:creator>openpyxl</dc:creator>
  <dc:description/>
  <dc:language>en-US</dc:language>
  <cp:lastModifiedBy/>
  <dcterms:modified xsi:type="dcterms:W3CDTF">2026-10-21T20:26:49Z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