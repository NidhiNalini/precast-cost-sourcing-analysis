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dhi\Downloads\precast-cost-sourcing-analysis\precast-cost-sourcing-analysis\workbook\"/>
    </mc:Choice>
  </mc:AlternateContent>
  <xr:revisionPtr revIDLastSave="0" documentId="13_ncr:1_{F7C243FF-1781-4629-AB52-7B02D2EBA22A}" xr6:coauthVersionLast="47" xr6:coauthVersionMax="47" xr10:uidLastSave="{00000000-0000-0000-0000-000000000000}"/>
  <bookViews>
    <workbookView xWindow="-108" yWindow="-108" windowWidth="23256" windowHeight="12456" tabRatio="500" firstSheet="6" activeTab="11" xr2:uid="{00000000-000D-0000-FFFF-FFFF00000000}"/>
  </bookViews>
  <sheets>
    <sheet name="About" sheetId="1" r:id="rId1"/>
    <sheet name="Assumptions" sheetId="2" r:id="rId2"/>
    <sheet name="Items" sheetId="3" r:id="rId3"/>
    <sheet name="Suppliers" sheetId="4" r:id="rId4"/>
    <sheet name="Components" sheetId="5" r:id="rId5"/>
    <sheet name="BOM" sheetId="6" r:id="rId6"/>
    <sheet name="Sales" sheetId="7" r:id="rId7"/>
    <sheet name="Cost_Rollup" sheetId="8" r:id="rId8"/>
    <sheet name="Sourcing" sheetId="9" r:id="rId9"/>
    <sheet name="Summary" sheetId="10" r:id="rId10"/>
    <sheet name="Data_Quality" sheetId="11" r:id="rId11"/>
    <sheet name="Open_Questions" sheetId="12" r:id="rId12"/>
  </sheets>
  <definedNames>
    <definedName name="_xlnm._FilterDatabase" localSheetId="5" hidden="1">BOM!$A$1:$S$112</definedName>
    <definedName name="_xlnm._FilterDatabase" localSheetId="4" hidden="1">Components!$A$1:$N$20</definedName>
    <definedName name="_xlnm._FilterDatabase" localSheetId="2" hidden="1">Items!$A$1:$J$13</definedName>
    <definedName name="_xlnm._FilterDatabase" localSheetId="6" hidden="1">Sales!$A$1:$R$261</definedName>
    <definedName name="_xlnm._FilterDatabase" localSheetId="3" hidden="1">Suppliers!$A$1:$F$12</definedName>
    <definedName name="Discount_Threshold">Assumptions!$C$20</definedName>
    <definedName name="FX_Currency">Assumptions!$B$6:$B$8</definedName>
    <definedName name="FX_Rate">Assumptions!$C$6:$C$8</definedName>
    <definedName name="Home_Country">Assumptions!$C$19</definedName>
    <definedName name="Lead_Time_Flag">Assumptions!$C$21</definedName>
    <definedName name="Unit_Factor">Assumptions!$E$13:$E$15</definedName>
    <definedName name="Unit_Key">Assumptions!$B$13:$B$15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" i="10" l="1"/>
  <c r="B27" i="10"/>
  <c r="C26" i="10"/>
  <c r="B26" i="10"/>
  <c r="B10" i="10"/>
  <c r="B9" i="10"/>
  <c r="B4" i="10"/>
  <c r="L15" i="9"/>
  <c r="I15" i="9"/>
  <c r="H15" i="9"/>
  <c r="G15" i="9"/>
  <c r="F15" i="9"/>
  <c r="L14" i="9"/>
  <c r="I14" i="9"/>
  <c r="H14" i="9"/>
  <c r="G14" i="9"/>
  <c r="F14" i="9"/>
  <c r="L13" i="9"/>
  <c r="I13" i="9"/>
  <c r="H13" i="9"/>
  <c r="G13" i="9"/>
  <c r="F13" i="9"/>
  <c r="L12" i="9"/>
  <c r="I12" i="9"/>
  <c r="H12" i="9"/>
  <c r="G12" i="9"/>
  <c r="F12" i="9"/>
  <c r="L11" i="9"/>
  <c r="I11" i="9"/>
  <c r="H11" i="9"/>
  <c r="G11" i="9"/>
  <c r="F11" i="9"/>
  <c r="L10" i="9"/>
  <c r="I10" i="9"/>
  <c r="H10" i="9"/>
  <c r="G10" i="9"/>
  <c r="F10" i="9"/>
  <c r="L9" i="9"/>
  <c r="I9" i="9"/>
  <c r="H9" i="9"/>
  <c r="G9" i="9"/>
  <c r="F9" i="9"/>
  <c r="L8" i="9"/>
  <c r="I8" i="9"/>
  <c r="H8" i="9"/>
  <c r="G8" i="9"/>
  <c r="F8" i="9"/>
  <c r="L7" i="9"/>
  <c r="I7" i="9"/>
  <c r="H7" i="9"/>
  <c r="G7" i="9"/>
  <c r="F7" i="9"/>
  <c r="L6" i="9"/>
  <c r="I6" i="9"/>
  <c r="H6" i="9"/>
  <c r="G6" i="9"/>
  <c r="F6" i="9"/>
  <c r="L5" i="9"/>
  <c r="I5" i="9"/>
  <c r="H5" i="9"/>
  <c r="G5" i="9"/>
  <c r="F5" i="9"/>
  <c r="G16" i="8"/>
  <c r="E16" i="8"/>
  <c r="C16" i="8"/>
  <c r="B16" i="8"/>
  <c r="A16" i="8"/>
  <c r="H15" i="8"/>
  <c r="G15" i="8"/>
  <c r="E15" i="8"/>
  <c r="C15" i="8"/>
  <c r="B15" i="8"/>
  <c r="A15" i="8"/>
  <c r="G14" i="8"/>
  <c r="E14" i="8"/>
  <c r="C14" i="8"/>
  <c r="B14" i="8"/>
  <c r="A14" i="8"/>
  <c r="G13" i="8"/>
  <c r="E13" i="8"/>
  <c r="C13" i="8"/>
  <c r="B13" i="8"/>
  <c r="A13" i="8"/>
  <c r="G12" i="8"/>
  <c r="E12" i="8"/>
  <c r="C12" i="8"/>
  <c r="B12" i="8"/>
  <c r="A12" i="8"/>
  <c r="G11" i="8"/>
  <c r="E11" i="8"/>
  <c r="C11" i="8"/>
  <c r="B11" i="8"/>
  <c r="A11" i="8"/>
  <c r="G10" i="8"/>
  <c r="E10" i="8"/>
  <c r="C10" i="8"/>
  <c r="B10" i="8"/>
  <c r="A10" i="8"/>
  <c r="G9" i="8"/>
  <c r="E9" i="8"/>
  <c r="C9" i="8"/>
  <c r="B9" i="8"/>
  <c r="A9" i="8"/>
  <c r="G8" i="8"/>
  <c r="E8" i="8"/>
  <c r="C8" i="8"/>
  <c r="B8" i="8"/>
  <c r="A8" i="8"/>
  <c r="G7" i="8"/>
  <c r="E7" i="8"/>
  <c r="C7" i="8"/>
  <c r="B7" i="8"/>
  <c r="A7" i="8"/>
  <c r="G6" i="8"/>
  <c r="E6" i="8"/>
  <c r="C6" i="8"/>
  <c r="B6" i="8"/>
  <c r="A6" i="8"/>
  <c r="M5" i="8"/>
  <c r="G5" i="8"/>
  <c r="E5" i="8"/>
  <c r="C5" i="8"/>
  <c r="B5" i="8"/>
  <c r="A5" i="8"/>
  <c r="M261" i="7"/>
  <c r="L261" i="7"/>
  <c r="I261" i="7"/>
  <c r="J261" i="7" s="1"/>
  <c r="M260" i="7"/>
  <c r="L260" i="7"/>
  <c r="I260" i="7"/>
  <c r="J260" i="7" s="1"/>
  <c r="M259" i="7"/>
  <c r="L259" i="7"/>
  <c r="I259" i="7"/>
  <c r="J259" i="7" s="1"/>
  <c r="M258" i="7"/>
  <c r="L258" i="7"/>
  <c r="I258" i="7"/>
  <c r="J258" i="7" s="1"/>
  <c r="M257" i="7"/>
  <c r="L257" i="7"/>
  <c r="I257" i="7"/>
  <c r="J257" i="7" s="1"/>
  <c r="M256" i="7"/>
  <c r="L256" i="7"/>
  <c r="I256" i="7"/>
  <c r="J256" i="7" s="1"/>
  <c r="M255" i="7"/>
  <c r="L255" i="7"/>
  <c r="I255" i="7"/>
  <c r="J255" i="7" s="1"/>
  <c r="M254" i="7"/>
  <c r="L254" i="7"/>
  <c r="I254" i="7"/>
  <c r="J254" i="7" s="1"/>
  <c r="M253" i="7"/>
  <c r="L253" i="7"/>
  <c r="I253" i="7"/>
  <c r="J253" i="7" s="1"/>
  <c r="M252" i="7"/>
  <c r="L252" i="7"/>
  <c r="I252" i="7"/>
  <c r="J252" i="7" s="1"/>
  <c r="M251" i="7"/>
  <c r="L251" i="7"/>
  <c r="I251" i="7"/>
  <c r="J251" i="7" s="1"/>
  <c r="M250" i="7"/>
  <c r="L250" i="7"/>
  <c r="I250" i="7"/>
  <c r="J250" i="7" s="1"/>
  <c r="M249" i="7"/>
  <c r="L249" i="7"/>
  <c r="I249" i="7"/>
  <c r="J249" i="7" s="1"/>
  <c r="M248" i="7"/>
  <c r="L248" i="7"/>
  <c r="I248" i="7"/>
  <c r="J248" i="7" s="1"/>
  <c r="M247" i="7"/>
  <c r="L247" i="7"/>
  <c r="I247" i="7"/>
  <c r="J247" i="7" s="1"/>
  <c r="M246" i="7"/>
  <c r="L246" i="7"/>
  <c r="I246" i="7"/>
  <c r="J246" i="7" s="1"/>
  <c r="M245" i="7"/>
  <c r="L245" i="7"/>
  <c r="I245" i="7"/>
  <c r="J245" i="7" s="1"/>
  <c r="M244" i="7"/>
  <c r="L244" i="7"/>
  <c r="I244" i="7"/>
  <c r="J244" i="7" s="1"/>
  <c r="M243" i="7"/>
  <c r="L243" i="7"/>
  <c r="I243" i="7"/>
  <c r="J243" i="7" s="1"/>
  <c r="M242" i="7"/>
  <c r="L242" i="7"/>
  <c r="I242" i="7"/>
  <c r="J242" i="7" s="1"/>
  <c r="M241" i="7"/>
  <c r="L241" i="7"/>
  <c r="I241" i="7"/>
  <c r="J241" i="7" s="1"/>
  <c r="M240" i="7"/>
  <c r="L240" i="7"/>
  <c r="I240" i="7"/>
  <c r="J240" i="7" s="1"/>
  <c r="M239" i="7"/>
  <c r="L239" i="7"/>
  <c r="I239" i="7"/>
  <c r="J239" i="7" s="1"/>
  <c r="M238" i="7"/>
  <c r="L238" i="7"/>
  <c r="I238" i="7"/>
  <c r="J238" i="7" s="1"/>
  <c r="M237" i="7"/>
  <c r="L237" i="7"/>
  <c r="I237" i="7"/>
  <c r="J237" i="7" s="1"/>
  <c r="M236" i="7"/>
  <c r="L236" i="7"/>
  <c r="I236" i="7"/>
  <c r="J236" i="7" s="1"/>
  <c r="M235" i="7"/>
  <c r="L235" i="7"/>
  <c r="I235" i="7"/>
  <c r="J235" i="7" s="1"/>
  <c r="M234" i="7"/>
  <c r="L234" i="7"/>
  <c r="I234" i="7"/>
  <c r="J234" i="7" s="1"/>
  <c r="M233" i="7"/>
  <c r="L233" i="7"/>
  <c r="I233" i="7"/>
  <c r="J233" i="7" s="1"/>
  <c r="M232" i="7"/>
  <c r="L232" i="7"/>
  <c r="I232" i="7"/>
  <c r="J232" i="7" s="1"/>
  <c r="M231" i="7"/>
  <c r="L231" i="7"/>
  <c r="I231" i="7"/>
  <c r="J231" i="7" s="1"/>
  <c r="M230" i="7"/>
  <c r="L230" i="7"/>
  <c r="I230" i="7"/>
  <c r="J230" i="7" s="1"/>
  <c r="M229" i="7"/>
  <c r="L229" i="7"/>
  <c r="I229" i="7"/>
  <c r="J229" i="7" s="1"/>
  <c r="M228" i="7"/>
  <c r="L228" i="7"/>
  <c r="I228" i="7"/>
  <c r="J228" i="7" s="1"/>
  <c r="M227" i="7"/>
  <c r="L227" i="7"/>
  <c r="I227" i="7"/>
  <c r="J227" i="7" s="1"/>
  <c r="M226" i="7"/>
  <c r="L226" i="7"/>
  <c r="I226" i="7"/>
  <c r="J226" i="7" s="1"/>
  <c r="M225" i="7"/>
  <c r="L225" i="7"/>
  <c r="I225" i="7"/>
  <c r="J225" i="7" s="1"/>
  <c r="M224" i="7"/>
  <c r="L224" i="7"/>
  <c r="I224" i="7"/>
  <c r="J224" i="7" s="1"/>
  <c r="M223" i="7"/>
  <c r="L223" i="7"/>
  <c r="I223" i="7"/>
  <c r="J223" i="7" s="1"/>
  <c r="M222" i="7"/>
  <c r="L222" i="7"/>
  <c r="I222" i="7"/>
  <c r="J222" i="7" s="1"/>
  <c r="M221" i="7"/>
  <c r="L221" i="7"/>
  <c r="I221" i="7"/>
  <c r="J221" i="7" s="1"/>
  <c r="M220" i="7"/>
  <c r="L220" i="7"/>
  <c r="I220" i="7"/>
  <c r="J220" i="7" s="1"/>
  <c r="M219" i="7"/>
  <c r="L219" i="7"/>
  <c r="I219" i="7"/>
  <c r="J219" i="7" s="1"/>
  <c r="M218" i="7"/>
  <c r="L218" i="7"/>
  <c r="I218" i="7"/>
  <c r="J218" i="7" s="1"/>
  <c r="M217" i="7"/>
  <c r="L217" i="7"/>
  <c r="I217" i="7"/>
  <c r="J217" i="7" s="1"/>
  <c r="M216" i="7"/>
  <c r="L216" i="7"/>
  <c r="I216" i="7"/>
  <c r="J216" i="7" s="1"/>
  <c r="M215" i="7"/>
  <c r="L215" i="7"/>
  <c r="I215" i="7"/>
  <c r="J215" i="7" s="1"/>
  <c r="M214" i="7"/>
  <c r="L214" i="7"/>
  <c r="I214" i="7"/>
  <c r="J214" i="7" s="1"/>
  <c r="M213" i="7"/>
  <c r="L213" i="7"/>
  <c r="I213" i="7"/>
  <c r="J213" i="7" s="1"/>
  <c r="M212" i="7"/>
  <c r="L212" i="7"/>
  <c r="I212" i="7"/>
  <c r="J212" i="7" s="1"/>
  <c r="M211" i="7"/>
  <c r="L211" i="7"/>
  <c r="I211" i="7"/>
  <c r="J211" i="7" s="1"/>
  <c r="M210" i="7"/>
  <c r="L210" i="7"/>
  <c r="I210" i="7"/>
  <c r="J210" i="7" s="1"/>
  <c r="M209" i="7"/>
  <c r="L209" i="7"/>
  <c r="I209" i="7"/>
  <c r="J209" i="7" s="1"/>
  <c r="M208" i="7"/>
  <c r="L208" i="7"/>
  <c r="I208" i="7"/>
  <c r="J208" i="7" s="1"/>
  <c r="M207" i="7"/>
  <c r="L207" i="7"/>
  <c r="I207" i="7"/>
  <c r="J207" i="7" s="1"/>
  <c r="M206" i="7"/>
  <c r="L206" i="7"/>
  <c r="I206" i="7"/>
  <c r="J206" i="7" s="1"/>
  <c r="M205" i="7"/>
  <c r="L205" i="7"/>
  <c r="I205" i="7"/>
  <c r="J205" i="7" s="1"/>
  <c r="M204" i="7"/>
  <c r="L204" i="7"/>
  <c r="I204" i="7"/>
  <c r="J204" i="7" s="1"/>
  <c r="M203" i="7"/>
  <c r="L203" i="7"/>
  <c r="I203" i="7"/>
  <c r="J203" i="7" s="1"/>
  <c r="M202" i="7"/>
  <c r="L202" i="7"/>
  <c r="I202" i="7"/>
  <c r="J202" i="7" s="1"/>
  <c r="M201" i="7"/>
  <c r="L201" i="7"/>
  <c r="I201" i="7"/>
  <c r="J201" i="7" s="1"/>
  <c r="M200" i="7"/>
  <c r="L200" i="7"/>
  <c r="I200" i="7"/>
  <c r="J200" i="7" s="1"/>
  <c r="M199" i="7"/>
  <c r="L199" i="7"/>
  <c r="I199" i="7"/>
  <c r="J199" i="7" s="1"/>
  <c r="M198" i="7"/>
  <c r="L198" i="7"/>
  <c r="I198" i="7"/>
  <c r="J198" i="7" s="1"/>
  <c r="M197" i="7"/>
  <c r="L197" i="7"/>
  <c r="I197" i="7"/>
  <c r="J197" i="7" s="1"/>
  <c r="M196" i="7"/>
  <c r="L196" i="7"/>
  <c r="I196" i="7"/>
  <c r="J196" i="7" s="1"/>
  <c r="M195" i="7"/>
  <c r="L195" i="7"/>
  <c r="I195" i="7"/>
  <c r="J195" i="7" s="1"/>
  <c r="M194" i="7"/>
  <c r="L194" i="7"/>
  <c r="I194" i="7"/>
  <c r="J194" i="7" s="1"/>
  <c r="M193" i="7"/>
  <c r="L193" i="7"/>
  <c r="I193" i="7"/>
  <c r="M192" i="7"/>
  <c r="L192" i="7"/>
  <c r="I192" i="7"/>
  <c r="J192" i="7" s="1"/>
  <c r="M191" i="7"/>
  <c r="L191" i="7"/>
  <c r="I191" i="7"/>
  <c r="J191" i="7" s="1"/>
  <c r="M190" i="7"/>
  <c r="L190" i="7"/>
  <c r="I190" i="7"/>
  <c r="J190" i="7" s="1"/>
  <c r="M189" i="7"/>
  <c r="L189" i="7"/>
  <c r="I189" i="7"/>
  <c r="J189" i="7" s="1"/>
  <c r="M188" i="7"/>
  <c r="L188" i="7"/>
  <c r="I188" i="7"/>
  <c r="J188" i="7" s="1"/>
  <c r="M187" i="7"/>
  <c r="L187" i="7"/>
  <c r="I187" i="7"/>
  <c r="J187" i="7" s="1"/>
  <c r="M186" i="7"/>
  <c r="L186" i="7"/>
  <c r="I186" i="7"/>
  <c r="J186" i="7" s="1"/>
  <c r="M185" i="7"/>
  <c r="L185" i="7"/>
  <c r="I185" i="7"/>
  <c r="J185" i="7" s="1"/>
  <c r="M184" i="7"/>
  <c r="L184" i="7"/>
  <c r="I184" i="7"/>
  <c r="J184" i="7" s="1"/>
  <c r="M183" i="7"/>
  <c r="L183" i="7"/>
  <c r="I183" i="7"/>
  <c r="J183" i="7" s="1"/>
  <c r="M182" i="7"/>
  <c r="L182" i="7"/>
  <c r="I182" i="7"/>
  <c r="J182" i="7" s="1"/>
  <c r="M181" i="7"/>
  <c r="L181" i="7"/>
  <c r="I181" i="7"/>
  <c r="J181" i="7" s="1"/>
  <c r="M180" i="7"/>
  <c r="L180" i="7"/>
  <c r="I180" i="7"/>
  <c r="J180" i="7" s="1"/>
  <c r="M179" i="7"/>
  <c r="L179" i="7"/>
  <c r="I179" i="7"/>
  <c r="J179" i="7" s="1"/>
  <c r="M178" i="7"/>
  <c r="L178" i="7"/>
  <c r="I178" i="7"/>
  <c r="J178" i="7" s="1"/>
  <c r="M177" i="7"/>
  <c r="L177" i="7"/>
  <c r="I177" i="7"/>
  <c r="J177" i="7" s="1"/>
  <c r="M176" i="7"/>
  <c r="L176" i="7"/>
  <c r="I176" i="7"/>
  <c r="J176" i="7" s="1"/>
  <c r="M175" i="7"/>
  <c r="L175" i="7"/>
  <c r="I175" i="7"/>
  <c r="J175" i="7" s="1"/>
  <c r="M174" i="7"/>
  <c r="L174" i="7"/>
  <c r="I174" i="7"/>
  <c r="J174" i="7" s="1"/>
  <c r="M173" i="7"/>
  <c r="L173" i="7"/>
  <c r="I173" i="7"/>
  <c r="J173" i="7" s="1"/>
  <c r="M172" i="7"/>
  <c r="L172" i="7"/>
  <c r="I172" i="7"/>
  <c r="J172" i="7" s="1"/>
  <c r="M171" i="7"/>
  <c r="L171" i="7"/>
  <c r="I171" i="7"/>
  <c r="J171" i="7" s="1"/>
  <c r="M170" i="7"/>
  <c r="L170" i="7"/>
  <c r="I170" i="7"/>
  <c r="J170" i="7" s="1"/>
  <c r="M169" i="7"/>
  <c r="L169" i="7"/>
  <c r="I169" i="7"/>
  <c r="J169" i="7" s="1"/>
  <c r="M168" i="7"/>
  <c r="L168" i="7"/>
  <c r="I168" i="7"/>
  <c r="J168" i="7" s="1"/>
  <c r="M167" i="7"/>
  <c r="L167" i="7"/>
  <c r="I167" i="7"/>
  <c r="J167" i="7" s="1"/>
  <c r="M166" i="7"/>
  <c r="L166" i="7"/>
  <c r="I166" i="7"/>
  <c r="J166" i="7" s="1"/>
  <c r="M165" i="7"/>
  <c r="L165" i="7"/>
  <c r="I165" i="7"/>
  <c r="J165" i="7" s="1"/>
  <c r="M164" i="7"/>
  <c r="L164" i="7"/>
  <c r="I164" i="7"/>
  <c r="J164" i="7" s="1"/>
  <c r="M163" i="7"/>
  <c r="L163" i="7"/>
  <c r="I163" i="7"/>
  <c r="J163" i="7" s="1"/>
  <c r="M162" i="7"/>
  <c r="L162" i="7"/>
  <c r="I162" i="7"/>
  <c r="J162" i="7" s="1"/>
  <c r="M161" i="7"/>
  <c r="L161" i="7"/>
  <c r="I161" i="7"/>
  <c r="J161" i="7" s="1"/>
  <c r="M160" i="7"/>
  <c r="L160" i="7"/>
  <c r="I160" i="7"/>
  <c r="J160" i="7" s="1"/>
  <c r="M159" i="7"/>
  <c r="L159" i="7"/>
  <c r="I159" i="7"/>
  <c r="J159" i="7" s="1"/>
  <c r="M158" i="7"/>
  <c r="L158" i="7"/>
  <c r="I158" i="7"/>
  <c r="M157" i="7"/>
  <c r="L157" i="7"/>
  <c r="I157" i="7"/>
  <c r="J157" i="7" s="1"/>
  <c r="M156" i="7"/>
  <c r="L156" i="7"/>
  <c r="I156" i="7"/>
  <c r="J156" i="7" s="1"/>
  <c r="M155" i="7"/>
  <c r="L155" i="7"/>
  <c r="I155" i="7"/>
  <c r="J155" i="7" s="1"/>
  <c r="M154" i="7"/>
  <c r="L154" i="7"/>
  <c r="I154" i="7"/>
  <c r="J154" i="7" s="1"/>
  <c r="M153" i="7"/>
  <c r="L153" i="7"/>
  <c r="I153" i="7"/>
  <c r="J153" i="7" s="1"/>
  <c r="M152" i="7"/>
  <c r="L152" i="7"/>
  <c r="I152" i="7"/>
  <c r="J152" i="7" s="1"/>
  <c r="M151" i="7"/>
  <c r="L151" i="7"/>
  <c r="I151" i="7"/>
  <c r="J151" i="7" s="1"/>
  <c r="M150" i="7"/>
  <c r="L150" i="7"/>
  <c r="I150" i="7"/>
  <c r="J150" i="7" s="1"/>
  <c r="M149" i="7"/>
  <c r="L149" i="7"/>
  <c r="I149" i="7"/>
  <c r="J149" i="7" s="1"/>
  <c r="M148" i="7"/>
  <c r="L148" i="7"/>
  <c r="I148" i="7"/>
  <c r="J148" i="7" s="1"/>
  <c r="M147" i="7"/>
  <c r="L147" i="7"/>
  <c r="I147" i="7"/>
  <c r="J147" i="7" s="1"/>
  <c r="M146" i="7"/>
  <c r="L146" i="7"/>
  <c r="I146" i="7"/>
  <c r="J146" i="7" s="1"/>
  <c r="M145" i="7"/>
  <c r="L145" i="7"/>
  <c r="I145" i="7"/>
  <c r="J145" i="7" s="1"/>
  <c r="M144" i="7"/>
  <c r="L144" i="7"/>
  <c r="I144" i="7"/>
  <c r="J144" i="7" s="1"/>
  <c r="M143" i="7"/>
  <c r="L143" i="7"/>
  <c r="I143" i="7"/>
  <c r="J143" i="7" s="1"/>
  <c r="M142" i="7"/>
  <c r="L142" i="7"/>
  <c r="I142" i="7"/>
  <c r="J142" i="7" s="1"/>
  <c r="M141" i="7"/>
  <c r="L141" i="7"/>
  <c r="I141" i="7"/>
  <c r="J141" i="7" s="1"/>
  <c r="M140" i="7"/>
  <c r="L140" i="7"/>
  <c r="I140" i="7"/>
  <c r="J140" i="7" s="1"/>
  <c r="M139" i="7"/>
  <c r="L139" i="7"/>
  <c r="I139" i="7"/>
  <c r="J139" i="7" s="1"/>
  <c r="M138" i="7"/>
  <c r="L138" i="7"/>
  <c r="I138" i="7"/>
  <c r="J138" i="7" s="1"/>
  <c r="M137" i="7"/>
  <c r="L137" i="7"/>
  <c r="I137" i="7"/>
  <c r="J137" i="7" s="1"/>
  <c r="M136" i="7"/>
  <c r="L136" i="7"/>
  <c r="I136" i="7"/>
  <c r="J136" i="7" s="1"/>
  <c r="M135" i="7"/>
  <c r="L135" i="7"/>
  <c r="I135" i="7"/>
  <c r="J135" i="7" s="1"/>
  <c r="M134" i="7"/>
  <c r="L134" i="7"/>
  <c r="I134" i="7"/>
  <c r="J134" i="7" s="1"/>
  <c r="M133" i="7"/>
  <c r="L133" i="7"/>
  <c r="I133" i="7"/>
  <c r="J133" i="7" s="1"/>
  <c r="M132" i="7"/>
  <c r="L132" i="7"/>
  <c r="I132" i="7"/>
  <c r="J132" i="7" s="1"/>
  <c r="M131" i="7"/>
  <c r="L131" i="7"/>
  <c r="I131" i="7"/>
  <c r="J131" i="7" s="1"/>
  <c r="M130" i="7"/>
  <c r="L130" i="7"/>
  <c r="I130" i="7"/>
  <c r="J130" i="7" s="1"/>
  <c r="M129" i="7"/>
  <c r="L129" i="7"/>
  <c r="I129" i="7"/>
  <c r="J129" i="7" s="1"/>
  <c r="M128" i="7"/>
  <c r="L128" i="7"/>
  <c r="I128" i="7"/>
  <c r="J128" i="7" s="1"/>
  <c r="M127" i="7"/>
  <c r="L127" i="7"/>
  <c r="I127" i="7"/>
  <c r="J127" i="7" s="1"/>
  <c r="M126" i="7"/>
  <c r="L126" i="7"/>
  <c r="I126" i="7"/>
  <c r="J126" i="7" s="1"/>
  <c r="M125" i="7"/>
  <c r="L125" i="7"/>
  <c r="I125" i="7"/>
  <c r="J125" i="7" s="1"/>
  <c r="M124" i="7"/>
  <c r="L124" i="7"/>
  <c r="I124" i="7"/>
  <c r="J124" i="7" s="1"/>
  <c r="M123" i="7"/>
  <c r="L123" i="7"/>
  <c r="I123" i="7"/>
  <c r="J123" i="7" s="1"/>
  <c r="M122" i="7"/>
  <c r="L122" i="7"/>
  <c r="I122" i="7"/>
  <c r="J122" i="7" s="1"/>
  <c r="M121" i="7"/>
  <c r="L121" i="7"/>
  <c r="I121" i="7"/>
  <c r="J121" i="7" s="1"/>
  <c r="M120" i="7"/>
  <c r="L120" i="7"/>
  <c r="I120" i="7"/>
  <c r="J120" i="7" s="1"/>
  <c r="M119" i="7"/>
  <c r="L119" i="7"/>
  <c r="I119" i="7"/>
  <c r="J119" i="7" s="1"/>
  <c r="M118" i="7"/>
  <c r="L118" i="7"/>
  <c r="I118" i="7"/>
  <c r="J118" i="7" s="1"/>
  <c r="M117" i="7"/>
  <c r="L117" i="7"/>
  <c r="I117" i="7"/>
  <c r="J117" i="7" s="1"/>
  <c r="M116" i="7"/>
  <c r="L116" i="7"/>
  <c r="I116" i="7"/>
  <c r="J116" i="7" s="1"/>
  <c r="M115" i="7"/>
  <c r="L115" i="7"/>
  <c r="I115" i="7"/>
  <c r="J115" i="7" s="1"/>
  <c r="M114" i="7"/>
  <c r="L114" i="7"/>
  <c r="I114" i="7"/>
  <c r="J114" i="7" s="1"/>
  <c r="M113" i="7"/>
  <c r="L113" i="7"/>
  <c r="I113" i="7"/>
  <c r="J113" i="7" s="1"/>
  <c r="M112" i="7"/>
  <c r="L112" i="7"/>
  <c r="I112" i="7"/>
  <c r="J112" i="7" s="1"/>
  <c r="M111" i="7"/>
  <c r="L111" i="7"/>
  <c r="I111" i="7"/>
  <c r="J111" i="7" s="1"/>
  <c r="M110" i="7"/>
  <c r="L110" i="7"/>
  <c r="I110" i="7"/>
  <c r="J110" i="7" s="1"/>
  <c r="M109" i="7"/>
  <c r="L109" i="7"/>
  <c r="I109" i="7"/>
  <c r="J109" i="7" s="1"/>
  <c r="M108" i="7"/>
  <c r="L108" i="7"/>
  <c r="I108" i="7"/>
  <c r="J108" i="7" s="1"/>
  <c r="M107" i="7"/>
  <c r="L107" i="7"/>
  <c r="I107" i="7"/>
  <c r="J107" i="7" s="1"/>
  <c r="M106" i="7"/>
  <c r="L106" i="7"/>
  <c r="I106" i="7"/>
  <c r="J106" i="7" s="1"/>
  <c r="M105" i="7"/>
  <c r="L105" i="7"/>
  <c r="I105" i="7"/>
  <c r="J105" i="7" s="1"/>
  <c r="M104" i="7"/>
  <c r="L104" i="7"/>
  <c r="I104" i="7"/>
  <c r="J104" i="7" s="1"/>
  <c r="M103" i="7"/>
  <c r="L103" i="7"/>
  <c r="I103" i="7"/>
  <c r="J103" i="7" s="1"/>
  <c r="M102" i="7"/>
  <c r="L102" i="7"/>
  <c r="I102" i="7"/>
  <c r="J102" i="7" s="1"/>
  <c r="M101" i="7"/>
  <c r="L101" i="7"/>
  <c r="I101" i="7"/>
  <c r="J101" i="7" s="1"/>
  <c r="M100" i="7"/>
  <c r="L100" i="7"/>
  <c r="I100" i="7"/>
  <c r="J100" i="7" s="1"/>
  <c r="M99" i="7"/>
  <c r="L99" i="7"/>
  <c r="I99" i="7"/>
  <c r="J99" i="7" s="1"/>
  <c r="M98" i="7"/>
  <c r="L98" i="7"/>
  <c r="I98" i="7"/>
  <c r="J98" i="7" s="1"/>
  <c r="M97" i="7"/>
  <c r="L97" i="7"/>
  <c r="I97" i="7"/>
  <c r="J97" i="7" s="1"/>
  <c r="M96" i="7"/>
  <c r="L96" i="7"/>
  <c r="I96" i="7"/>
  <c r="J96" i="7" s="1"/>
  <c r="M95" i="7"/>
  <c r="L95" i="7"/>
  <c r="I95" i="7"/>
  <c r="J95" i="7" s="1"/>
  <c r="M94" i="7"/>
  <c r="L94" i="7"/>
  <c r="I94" i="7"/>
  <c r="J94" i="7" s="1"/>
  <c r="M93" i="7"/>
  <c r="L93" i="7"/>
  <c r="I93" i="7"/>
  <c r="J93" i="7" s="1"/>
  <c r="M92" i="7"/>
  <c r="L92" i="7"/>
  <c r="I92" i="7"/>
  <c r="J92" i="7" s="1"/>
  <c r="M91" i="7"/>
  <c r="L91" i="7"/>
  <c r="I91" i="7"/>
  <c r="J91" i="7" s="1"/>
  <c r="M90" i="7"/>
  <c r="L90" i="7"/>
  <c r="I90" i="7"/>
  <c r="J90" i="7" s="1"/>
  <c r="M89" i="7"/>
  <c r="L89" i="7"/>
  <c r="I89" i="7"/>
  <c r="J89" i="7" s="1"/>
  <c r="M88" i="7"/>
  <c r="L88" i="7"/>
  <c r="I88" i="7"/>
  <c r="J88" i="7" s="1"/>
  <c r="M87" i="7"/>
  <c r="L87" i="7"/>
  <c r="I87" i="7"/>
  <c r="J87" i="7" s="1"/>
  <c r="M86" i="7"/>
  <c r="L86" i="7"/>
  <c r="I86" i="7"/>
  <c r="J86" i="7" s="1"/>
  <c r="M85" i="7"/>
  <c r="L85" i="7"/>
  <c r="I85" i="7"/>
  <c r="J85" i="7" s="1"/>
  <c r="M84" i="7"/>
  <c r="L84" i="7"/>
  <c r="I84" i="7"/>
  <c r="J84" i="7" s="1"/>
  <c r="M83" i="7"/>
  <c r="L83" i="7"/>
  <c r="I83" i="7"/>
  <c r="J83" i="7" s="1"/>
  <c r="M82" i="7"/>
  <c r="L82" i="7"/>
  <c r="I82" i="7"/>
  <c r="J82" i="7" s="1"/>
  <c r="M81" i="7"/>
  <c r="L81" i="7"/>
  <c r="I81" i="7"/>
  <c r="J81" i="7" s="1"/>
  <c r="M80" i="7"/>
  <c r="L80" i="7"/>
  <c r="I80" i="7"/>
  <c r="J80" i="7" s="1"/>
  <c r="M79" i="7"/>
  <c r="L79" i="7"/>
  <c r="I79" i="7"/>
  <c r="J79" i="7" s="1"/>
  <c r="M78" i="7"/>
  <c r="L78" i="7"/>
  <c r="I78" i="7"/>
  <c r="J78" i="7" s="1"/>
  <c r="M77" i="7"/>
  <c r="L77" i="7"/>
  <c r="I77" i="7"/>
  <c r="J77" i="7" s="1"/>
  <c r="M76" i="7"/>
  <c r="L76" i="7"/>
  <c r="I76" i="7"/>
  <c r="J76" i="7" s="1"/>
  <c r="M75" i="7"/>
  <c r="L75" i="7"/>
  <c r="I75" i="7"/>
  <c r="J75" i="7" s="1"/>
  <c r="M74" i="7"/>
  <c r="L74" i="7"/>
  <c r="I74" i="7"/>
  <c r="J74" i="7" s="1"/>
  <c r="M73" i="7"/>
  <c r="L73" i="7"/>
  <c r="I73" i="7"/>
  <c r="J73" i="7" s="1"/>
  <c r="M72" i="7"/>
  <c r="L72" i="7"/>
  <c r="I72" i="7"/>
  <c r="J72" i="7" s="1"/>
  <c r="M71" i="7"/>
  <c r="L71" i="7"/>
  <c r="I71" i="7"/>
  <c r="J71" i="7" s="1"/>
  <c r="M70" i="7"/>
  <c r="L70" i="7"/>
  <c r="I70" i="7"/>
  <c r="J70" i="7" s="1"/>
  <c r="M69" i="7"/>
  <c r="L69" i="7"/>
  <c r="I69" i="7"/>
  <c r="J69" i="7" s="1"/>
  <c r="M68" i="7"/>
  <c r="L68" i="7"/>
  <c r="I68" i="7"/>
  <c r="J68" i="7" s="1"/>
  <c r="M67" i="7"/>
  <c r="L67" i="7"/>
  <c r="I67" i="7"/>
  <c r="J67" i="7" s="1"/>
  <c r="M66" i="7"/>
  <c r="L66" i="7"/>
  <c r="I66" i="7"/>
  <c r="J66" i="7" s="1"/>
  <c r="M65" i="7"/>
  <c r="L65" i="7"/>
  <c r="I65" i="7"/>
  <c r="J65" i="7" s="1"/>
  <c r="M64" i="7"/>
  <c r="L64" i="7"/>
  <c r="I64" i="7"/>
  <c r="J64" i="7" s="1"/>
  <c r="M63" i="7"/>
  <c r="L63" i="7"/>
  <c r="I63" i="7"/>
  <c r="J63" i="7" s="1"/>
  <c r="M62" i="7"/>
  <c r="L62" i="7"/>
  <c r="I62" i="7"/>
  <c r="J62" i="7" s="1"/>
  <c r="M61" i="7"/>
  <c r="L61" i="7"/>
  <c r="I61" i="7"/>
  <c r="J61" i="7" s="1"/>
  <c r="M60" i="7"/>
  <c r="L60" i="7"/>
  <c r="I60" i="7"/>
  <c r="J60" i="7" s="1"/>
  <c r="M59" i="7"/>
  <c r="L59" i="7"/>
  <c r="I59" i="7"/>
  <c r="J59" i="7" s="1"/>
  <c r="M58" i="7"/>
  <c r="L58" i="7"/>
  <c r="I58" i="7"/>
  <c r="J58" i="7" s="1"/>
  <c r="M57" i="7"/>
  <c r="L57" i="7"/>
  <c r="I57" i="7"/>
  <c r="J57" i="7" s="1"/>
  <c r="M56" i="7"/>
  <c r="L56" i="7"/>
  <c r="I56" i="7"/>
  <c r="J56" i="7" s="1"/>
  <c r="M55" i="7"/>
  <c r="L55" i="7"/>
  <c r="I55" i="7"/>
  <c r="J55" i="7" s="1"/>
  <c r="M54" i="7"/>
  <c r="L54" i="7"/>
  <c r="I54" i="7"/>
  <c r="J54" i="7" s="1"/>
  <c r="M53" i="7"/>
  <c r="L53" i="7"/>
  <c r="I53" i="7"/>
  <c r="J53" i="7" s="1"/>
  <c r="M52" i="7"/>
  <c r="L52" i="7"/>
  <c r="I52" i="7"/>
  <c r="J52" i="7" s="1"/>
  <c r="M51" i="7"/>
  <c r="L51" i="7"/>
  <c r="I51" i="7"/>
  <c r="J51" i="7" s="1"/>
  <c r="M50" i="7"/>
  <c r="L50" i="7"/>
  <c r="I50" i="7"/>
  <c r="J50" i="7" s="1"/>
  <c r="M49" i="7"/>
  <c r="L49" i="7"/>
  <c r="I49" i="7"/>
  <c r="J49" i="7" s="1"/>
  <c r="M48" i="7"/>
  <c r="L48" i="7"/>
  <c r="I48" i="7"/>
  <c r="J48" i="7" s="1"/>
  <c r="M47" i="7"/>
  <c r="L47" i="7"/>
  <c r="I47" i="7"/>
  <c r="J47" i="7" s="1"/>
  <c r="M46" i="7"/>
  <c r="L46" i="7"/>
  <c r="I46" i="7"/>
  <c r="J46" i="7" s="1"/>
  <c r="M45" i="7"/>
  <c r="L45" i="7"/>
  <c r="I45" i="7"/>
  <c r="J45" i="7" s="1"/>
  <c r="M44" i="7"/>
  <c r="L44" i="7"/>
  <c r="I44" i="7"/>
  <c r="J44" i="7" s="1"/>
  <c r="M43" i="7"/>
  <c r="L43" i="7"/>
  <c r="I43" i="7"/>
  <c r="J43" i="7" s="1"/>
  <c r="M42" i="7"/>
  <c r="L42" i="7"/>
  <c r="I42" i="7"/>
  <c r="J42" i="7" s="1"/>
  <c r="M41" i="7"/>
  <c r="L41" i="7"/>
  <c r="I41" i="7"/>
  <c r="J41" i="7" s="1"/>
  <c r="M40" i="7"/>
  <c r="L40" i="7"/>
  <c r="I40" i="7"/>
  <c r="J40" i="7" s="1"/>
  <c r="M39" i="7"/>
  <c r="L39" i="7"/>
  <c r="I39" i="7"/>
  <c r="J39" i="7" s="1"/>
  <c r="M38" i="7"/>
  <c r="L38" i="7"/>
  <c r="I38" i="7"/>
  <c r="J38" i="7" s="1"/>
  <c r="M37" i="7"/>
  <c r="L37" i="7"/>
  <c r="I37" i="7"/>
  <c r="J37" i="7" s="1"/>
  <c r="M36" i="7"/>
  <c r="L36" i="7"/>
  <c r="I36" i="7"/>
  <c r="J36" i="7" s="1"/>
  <c r="M35" i="7"/>
  <c r="L35" i="7"/>
  <c r="I35" i="7"/>
  <c r="J35" i="7" s="1"/>
  <c r="M34" i="7"/>
  <c r="L34" i="7"/>
  <c r="I34" i="7"/>
  <c r="J34" i="7" s="1"/>
  <c r="M33" i="7"/>
  <c r="L33" i="7"/>
  <c r="I33" i="7"/>
  <c r="J33" i="7" s="1"/>
  <c r="M32" i="7"/>
  <c r="L32" i="7"/>
  <c r="I32" i="7"/>
  <c r="J32" i="7" s="1"/>
  <c r="M31" i="7"/>
  <c r="L31" i="7"/>
  <c r="I31" i="7"/>
  <c r="J31" i="7" s="1"/>
  <c r="M30" i="7"/>
  <c r="L30" i="7"/>
  <c r="I30" i="7"/>
  <c r="J30" i="7" s="1"/>
  <c r="M29" i="7"/>
  <c r="L29" i="7"/>
  <c r="I29" i="7"/>
  <c r="J29" i="7" s="1"/>
  <c r="M28" i="7"/>
  <c r="L28" i="7"/>
  <c r="I28" i="7"/>
  <c r="J28" i="7" s="1"/>
  <c r="M27" i="7"/>
  <c r="L27" i="7"/>
  <c r="I27" i="7"/>
  <c r="J27" i="7" s="1"/>
  <c r="M26" i="7"/>
  <c r="L26" i="7"/>
  <c r="I26" i="7"/>
  <c r="J26" i="7" s="1"/>
  <c r="M25" i="7"/>
  <c r="L25" i="7"/>
  <c r="I25" i="7"/>
  <c r="J25" i="7" s="1"/>
  <c r="M24" i="7"/>
  <c r="L24" i="7"/>
  <c r="I24" i="7"/>
  <c r="J24" i="7" s="1"/>
  <c r="M23" i="7"/>
  <c r="L23" i="7"/>
  <c r="I23" i="7"/>
  <c r="J23" i="7" s="1"/>
  <c r="M22" i="7"/>
  <c r="L22" i="7"/>
  <c r="I22" i="7"/>
  <c r="J22" i="7" s="1"/>
  <c r="M21" i="7"/>
  <c r="L21" i="7"/>
  <c r="I21" i="7"/>
  <c r="J21" i="7" s="1"/>
  <c r="M20" i="7"/>
  <c r="L20" i="7"/>
  <c r="I20" i="7"/>
  <c r="J20" i="7" s="1"/>
  <c r="M19" i="7"/>
  <c r="L19" i="7"/>
  <c r="I19" i="7"/>
  <c r="J19" i="7" s="1"/>
  <c r="M18" i="7"/>
  <c r="L18" i="7"/>
  <c r="I18" i="7"/>
  <c r="J18" i="7" s="1"/>
  <c r="M17" i="7"/>
  <c r="L17" i="7"/>
  <c r="I17" i="7"/>
  <c r="J17" i="7" s="1"/>
  <c r="M16" i="7"/>
  <c r="L16" i="7"/>
  <c r="I16" i="7"/>
  <c r="J16" i="7" s="1"/>
  <c r="M15" i="7"/>
  <c r="L15" i="7"/>
  <c r="I15" i="7"/>
  <c r="J15" i="7" s="1"/>
  <c r="M14" i="7"/>
  <c r="L14" i="7"/>
  <c r="I14" i="7"/>
  <c r="J14" i="7" s="1"/>
  <c r="M13" i="7"/>
  <c r="L13" i="7"/>
  <c r="I13" i="7"/>
  <c r="J13" i="7" s="1"/>
  <c r="M12" i="7"/>
  <c r="L12" i="7"/>
  <c r="I12" i="7"/>
  <c r="J12" i="7" s="1"/>
  <c r="M11" i="7"/>
  <c r="L11" i="7"/>
  <c r="I11" i="7"/>
  <c r="J11" i="7" s="1"/>
  <c r="M10" i="7"/>
  <c r="L10" i="7"/>
  <c r="I10" i="7"/>
  <c r="J10" i="7" s="1"/>
  <c r="M9" i="7"/>
  <c r="L9" i="7"/>
  <c r="I9" i="7"/>
  <c r="J9" i="7" s="1"/>
  <c r="M8" i="7"/>
  <c r="L8" i="7"/>
  <c r="I8" i="7"/>
  <c r="J8" i="7" s="1"/>
  <c r="M7" i="7"/>
  <c r="L7" i="7"/>
  <c r="I7" i="7"/>
  <c r="J7" i="7" s="1"/>
  <c r="M6" i="7"/>
  <c r="L6" i="7"/>
  <c r="I6" i="7"/>
  <c r="J6" i="7" s="1"/>
  <c r="M5" i="7"/>
  <c r="L5" i="7"/>
  <c r="I5" i="7"/>
  <c r="J5" i="7" s="1"/>
  <c r="M4" i="7"/>
  <c r="L4" i="7"/>
  <c r="I4" i="7"/>
  <c r="J4" i="7" s="1"/>
  <c r="M3" i="7"/>
  <c r="L3" i="7"/>
  <c r="I3" i="7"/>
  <c r="J3" i="7" s="1"/>
  <c r="M2" i="7"/>
  <c r="L2" i="7"/>
  <c r="I2" i="7"/>
  <c r="J2" i="7" s="1"/>
  <c r="P112" i="6"/>
  <c r="F112" i="6"/>
  <c r="G112" i="6" s="1"/>
  <c r="P111" i="6"/>
  <c r="F111" i="6"/>
  <c r="G111" i="6" s="1"/>
  <c r="P110" i="6"/>
  <c r="F110" i="6"/>
  <c r="G110" i="6" s="1"/>
  <c r="P109" i="6"/>
  <c r="F109" i="6"/>
  <c r="G109" i="6" s="1"/>
  <c r="P108" i="6"/>
  <c r="F108" i="6"/>
  <c r="G108" i="6" s="1"/>
  <c r="P107" i="6"/>
  <c r="F107" i="6"/>
  <c r="G107" i="6" s="1"/>
  <c r="P106" i="6"/>
  <c r="F106" i="6"/>
  <c r="G106" i="6" s="1"/>
  <c r="P105" i="6"/>
  <c r="F105" i="6"/>
  <c r="G105" i="6" s="1"/>
  <c r="P104" i="6"/>
  <c r="F104" i="6"/>
  <c r="G104" i="6" s="1"/>
  <c r="P103" i="6"/>
  <c r="F103" i="6"/>
  <c r="G103" i="6" s="1"/>
  <c r="P102" i="6"/>
  <c r="F102" i="6"/>
  <c r="G102" i="6" s="1"/>
  <c r="P101" i="6"/>
  <c r="F101" i="6"/>
  <c r="G101" i="6" s="1"/>
  <c r="P100" i="6"/>
  <c r="F100" i="6"/>
  <c r="G100" i="6" s="1"/>
  <c r="P99" i="6"/>
  <c r="F99" i="6"/>
  <c r="G99" i="6" s="1"/>
  <c r="P98" i="6"/>
  <c r="F98" i="6"/>
  <c r="G98" i="6" s="1"/>
  <c r="P97" i="6"/>
  <c r="F97" i="6"/>
  <c r="G97" i="6" s="1"/>
  <c r="P96" i="6"/>
  <c r="F96" i="6"/>
  <c r="G96" i="6" s="1"/>
  <c r="P95" i="6"/>
  <c r="F95" i="6"/>
  <c r="G95" i="6" s="1"/>
  <c r="P94" i="6"/>
  <c r="F94" i="6"/>
  <c r="G94" i="6" s="1"/>
  <c r="P93" i="6"/>
  <c r="F93" i="6"/>
  <c r="G93" i="6" s="1"/>
  <c r="P92" i="6"/>
  <c r="F92" i="6"/>
  <c r="G92" i="6" s="1"/>
  <c r="P91" i="6"/>
  <c r="F91" i="6"/>
  <c r="G91" i="6" s="1"/>
  <c r="P90" i="6"/>
  <c r="F90" i="6"/>
  <c r="G90" i="6" s="1"/>
  <c r="P89" i="6"/>
  <c r="F89" i="6"/>
  <c r="G89" i="6" s="1"/>
  <c r="P88" i="6"/>
  <c r="F88" i="6"/>
  <c r="G88" i="6" s="1"/>
  <c r="P87" i="6"/>
  <c r="F87" i="6"/>
  <c r="G87" i="6" s="1"/>
  <c r="P86" i="6"/>
  <c r="F86" i="6"/>
  <c r="G86" i="6" s="1"/>
  <c r="P85" i="6"/>
  <c r="F85" i="6"/>
  <c r="G85" i="6" s="1"/>
  <c r="P84" i="6"/>
  <c r="F84" i="6"/>
  <c r="G84" i="6" s="1"/>
  <c r="P83" i="6"/>
  <c r="F83" i="6"/>
  <c r="G83" i="6" s="1"/>
  <c r="P82" i="6"/>
  <c r="F82" i="6"/>
  <c r="G82" i="6" s="1"/>
  <c r="P81" i="6"/>
  <c r="F81" i="6"/>
  <c r="G81" i="6" s="1"/>
  <c r="P80" i="6"/>
  <c r="F80" i="6"/>
  <c r="G80" i="6" s="1"/>
  <c r="P79" i="6"/>
  <c r="F79" i="6"/>
  <c r="G79" i="6" s="1"/>
  <c r="P78" i="6"/>
  <c r="F78" i="6"/>
  <c r="G78" i="6" s="1"/>
  <c r="P77" i="6"/>
  <c r="F77" i="6"/>
  <c r="G77" i="6" s="1"/>
  <c r="P76" i="6"/>
  <c r="F76" i="6"/>
  <c r="G76" i="6" s="1"/>
  <c r="P75" i="6"/>
  <c r="F75" i="6"/>
  <c r="G75" i="6" s="1"/>
  <c r="P74" i="6"/>
  <c r="F74" i="6"/>
  <c r="G74" i="6" s="1"/>
  <c r="P73" i="6"/>
  <c r="F73" i="6"/>
  <c r="G73" i="6" s="1"/>
  <c r="P72" i="6"/>
  <c r="F72" i="6"/>
  <c r="G72" i="6" s="1"/>
  <c r="P71" i="6"/>
  <c r="F71" i="6"/>
  <c r="G71" i="6" s="1"/>
  <c r="P70" i="6"/>
  <c r="F70" i="6"/>
  <c r="G70" i="6" s="1"/>
  <c r="P69" i="6"/>
  <c r="F69" i="6"/>
  <c r="G69" i="6" s="1"/>
  <c r="P68" i="6"/>
  <c r="F68" i="6"/>
  <c r="G68" i="6" s="1"/>
  <c r="P67" i="6"/>
  <c r="F67" i="6"/>
  <c r="G67" i="6" s="1"/>
  <c r="P66" i="6"/>
  <c r="F66" i="6"/>
  <c r="G66" i="6" s="1"/>
  <c r="P65" i="6"/>
  <c r="F65" i="6"/>
  <c r="G65" i="6" s="1"/>
  <c r="P64" i="6"/>
  <c r="F64" i="6"/>
  <c r="G64" i="6" s="1"/>
  <c r="P63" i="6"/>
  <c r="F63" i="6"/>
  <c r="G63" i="6" s="1"/>
  <c r="P62" i="6"/>
  <c r="F62" i="6"/>
  <c r="G62" i="6" s="1"/>
  <c r="P61" i="6"/>
  <c r="F61" i="6"/>
  <c r="G61" i="6" s="1"/>
  <c r="P60" i="6"/>
  <c r="F60" i="6"/>
  <c r="G60" i="6" s="1"/>
  <c r="P59" i="6"/>
  <c r="F59" i="6"/>
  <c r="G59" i="6" s="1"/>
  <c r="P58" i="6"/>
  <c r="F58" i="6"/>
  <c r="G58" i="6" s="1"/>
  <c r="P57" i="6"/>
  <c r="F57" i="6"/>
  <c r="G57" i="6" s="1"/>
  <c r="P56" i="6"/>
  <c r="F56" i="6"/>
  <c r="G56" i="6" s="1"/>
  <c r="P55" i="6"/>
  <c r="F55" i="6"/>
  <c r="G55" i="6" s="1"/>
  <c r="P54" i="6"/>
  <c r="F54" i="6"/>
  <c r="G54" i="6" s="1"/>
  <c r="P53" i="6"/>
  <c r="F53" i="6"/>
  <c r="G53" i="6" s="1"/>
  <c r="P52" i="6"/>
  <c r="F52" i="6"/>
  <c r="G52" i="6" s="1"/>
  <c r="P51" i="6"/>
  <c r="F51" i="6"/>
  <c r="G51" i="6" s="1"/>
  <c r="P50" i="6"/>
  <c r="G50" i="6"/>
  <c r="F50" i="6"/>
  <c r="P49" i="6"/>
  <c r="F49" i="6"/>
  <c r="G49" i="6" s="1"/>
  <c r="P48" i="6"/>
  <c r="F48" i="6"/>
  <c r="G48" i="6" s="1"/>
  <c r="P47" i="6"/>
  <c r="F47" i="6"/>
  <c r="G47" i="6" s="1"/>
  <c r="P46" i="6"/>
  <c r="F46" i="6"/>
  <c r="G46" i="6" s="1"/>
  <c r="P45" i="6"/>
  <c r="F45" i="6"/>
  <c r="G45" i="6" s="1"/>
  <c r="P44" i="6"/>
  <c r="F44" i="6"/>
  <c r="G44" i="6" s="1"/>
  <c r="P43" i="6"/>
  <c r="F43" i="6"/>
  <c r="G43" i="6" s="1"/>
  <c r="P42" i="6"/>
  <c r="F42" i="6"/>
  <c r="G42" i="6" s="1"/>
  <c r="P41" i="6"/>
  <c r="F41" i="6"/>
  <c r="G41" i="6" s="1"/>
  <c r="P40" i="6"/>
  <c r="F40" i="6"/>
  <c r="G40" i="6" s="1"/>
  <c r="P39" i="6"/>
  <c r="F39" i="6"/>
  <c r="G39" i="6" s="1"/>
  <c r="P38" i="6"/>
  <c r="F38" i="6"/>
  <c r="G38" i="6" s="1"/>
  <c r="P37" i="6"/>
  <c r="F37" i="6"/>
  <c r="G37" i="6" s="1"/>
  <c r="P36" i="6"/>
  <c r="F36" i="6"/>
  <c r="G36" i="6" s="1"/>
  <c r="P35" i="6"/>
  <c r="F35" i="6"/>
  <c r="G35" i="6" s="1"/>
  <c r="P34" i="6"/>
  <c r="F34" i="6"/>
  <c r="G34" i="6" s="1"/>
  <c r="P33" i="6"/>
  <c r="F33" i="6"/>
  <c r="G33" i="6" s="1"/>
  <c r="P32" i="6"/>
  <c r="F32" i="6"/>
  <c r="G32" i="6" s="1"/>
  <c r="P31" i="6"/>
  <c r="F31" i="6"/>
  <c r="G31" i="6" s="1"/>
  <c r="P30" i="6"/>
  <c r="F30" i="6"/>
  <c r="G30" i="6" s="1"/>
  <c r="P29" i="6"/>
  <c r="F29" i="6"/>
  <c r="G29" i="6" s="1"/>
  <c r="P28" i="6"/>
  <c r="F28" i="6"/>
  <c r="G28" i="6" s="1"/>
  <c r="P27" i="6"/>
  <c r="F27" i="6"/>
  <c r="G27" i="6" s="1"/>
  <c r="P26" i="6"/>
  <c r="F26" i="6"/>
  <c r="G26" i="6" s="1"/>
  <c r="P25" i="6"/>
  <c r="F25" i="6"/>
  <c r="G25" i="6" s="1"/>
  <c r="P24" i="6"/>
  <c r="F24" i="6"/>
  <c r="G24" i="6" s="1"/>
  <c r="P23" i="6"/>
  <c r="F23" i="6"/>
  <c r="G23" i="6" s="1"/>
  <c r="P22" i="6"/>
  <c r="F22" i="6"/>
  <c r="G22" i="6" s="1"/>
  <c r="P21" i="6"/>
  <c r="F21" i="6"/>
  <c r="G21" i="6" s="1"/>
  <c r="P20" i="6"/>
  <c r="F20" i="6"/>
  <c r="G20" i="6" s="1"/>
  <c r="P19" i="6"/>
  <c r="F19" i="6"/>
  <c r="G19" i="6" s="1"/>
  <c r="P18" i="6"/>
  <c r="F18" i="6"/>
  <c r="G18" i="6" s="1"/>
  <c r="P17" i="6"/>
  <c r="F17" i="6"/>
  <c r="G17" i="6" s="1"/>
  <c r="P16" i="6"/>
  <c r="F16" i="6"/>
  <c r="G16" i="6" s="1"/>
  <c r="P15" i="6"/>
  <c r="F15" i="6"/>
  <c r="G15" i="6" s="1"/>
  <c r="P14" i="6"/>
  <c r="F14" i="6"/>
  <c r="G14" i="6" s="1"/>
  <c r="P13" i="6"/>
  <c r="F13" i="6"/>
  <c r="G13" i="6" s="1"/>
  <c r="P12" i="6"/>
  <c r="F12" i="6"/>
  <c r="G12" i="6" s="1"/>
  <c r="P11" i="6"/>
  <c r="F11" i="6"/>
  <c r="G11" i="6" s="1"/>
  <c r="P10" i="6"/>
  <c r="F10" i="6"/>
  <c r="G10" i="6" s="1"/>
  <c r="P9" i="6"/>
  <c r="F9" i="6"/>
  <c r="G9" i="6" s="1"/>
  <c r="P8" i="6"/>
  <c r="F8" i="6"/>
  <c r="G8" i="6" s="1"/>
  <c r="P7" i="6"/>
  <c r="F7" i="6"/>
  <c r="G7" i="6" s="1"/>
  <c r="P6" i="6"/>
  <c r="F6" i="6"/>
  <c r="G6" i="6" s="1"/>
  <c r="P5" i="6"/>
  <c r="F5" i="6"/>
  <c r="G5" i="6" s="1"/>
  <c r="P4" i="6"/>
  <c r="F4" i="6"/>
  <c r="G4" i="6" s="1"/>
  <c r="P3" i="6"/>
  <c r="F3" i="6"/>
  <c r="G3" i="6" s="1"/>
  <c r="P2" i="6"/>
  <c r="F2" i="6"/>
  <c r="K20" i="5"/>
  <c r="J20" i="5"/>
  <c r="I20" i="5"/>
  <c r="L20" i="5" s="1"/>
  <c r="K19" i="5"/>
  <c r="M19" i="5" s="1"/>
  <c r="N19" i="5" s="1"/>
  <c r="J19" i="5"/>
  <c r="I19" i="5"/>
  <c r="L19" i="5" s="1"/>
  <c r="K18" i="5"/>
  <c r="J18" i="5"/>
  <c r="I18" i="5"/>
  <c r="L18" i="5" s="1"/>
  <c r="K17" i="5"/>
  <c r="J17" i="5"/>
  <c r="I17" i="5"/>
  <c r="L17" i="5" s="1"/>
  <c r="L16" i="5"/>
  <c r="K16" i="5"/>
  <c r="M16" i="5" s="1"/>
  <c r="N16" i="5" s="1"/>
  <c r="J16" i="5"/>
  <c r="I16" i="5"/>
  <c r="K15" i="5"/>
  <c r="J15" i="5"/>
  <c r="I15" i="5"/>
  <c r="L15" i="5" s="1"/>
  <c r="K14" i="5"/>
  <c r="J14" i="5"/>
  <c r="I14" i="5"/>
  <c r="L14" i="5" s="1"/>
  <c r="K13" i="5"/>
  <c r="J13" i="5"/>
  <c r="I13" i="5"/>
  <c r="L13" i="5" s="1"/>
  <c r="K12" i="5"/>
  <c r="J12" i="5"/>
  <c r="I12" i="5"/>
  <c r="L12" i="5" s="1"/>
  <c r="K11" i="5"/>
  <c r="J11" i="5"/>
  <c r="I11" i="5"/>
  <c r="L11" i="5" s="1"/>
  <c r="K10" i="5"/>
  <c r="J10" i="5"/>
  <c r="I10" i="5"/>
  <c r="L10" i="5" s="1"/>
  <c r="K9" i="5"/>
  <c r="J9" i="5"/>
  <c r="I9" i="5"/>
  <c r="L9" i="5" s="1"/>
  <c r="K8" i="5"/>
  <c r="J8" i="5"/>
  <c r="I8" i="5"/>
  <c r="L8" i="5" s="1"/>
  <c r="K7" i="5"/>
  <c r="J7" i="5"/>
  <c r="I7" i="5"/>
  <c r="L7" i="5" s="1"/>
  <c r="K6" i="5"/>
  <c r="J6" i="5"/>
  <c r="I6" i="5"/>
  <c r="L6" i="5" s="1"/>
  <c r="K5" i="5"/>
  <c r="J5" i="5"/>
  <c r="I5" i="5"/>
  <c r="L5" i="5" s="1"/>
  <c r="K4" i="5"/>
  <c r="J4" i="5"/>
  <c r="I4" i="5"/>
  <c r="L4" i="5" s="1"/>
  <c r="K3" i="5"/>
  <c r="J3" i="5"/>
  <c r="I3" i="5"/>
  <c r="L3" i="5" s="1"/>
  <c r="K2" i="5"/>
  <c r="J2" i="5"/>
  <c r="I2" i="5"/>
  <c r="L2" i="5" s="1"/>
  <c r="F12" i="4"/>
  <c r="F11" i="4"/>
  <c r="F10" i="4"/>
  <c r="F9" i="4"/>
  <c r="F8" i="4"/>
  <c r="F7" i="4"/>
  <c r="F6" i="4"/>
  <c r="F5" i="4"/>
  <c r="F4" i="4"/>
  <c r="F3" i="4"/>
  <c r="F2" i="4"/>
  <c r="H13" i="3"/>
  <c r="I13" i="3" s="1"/>
  <c r="J13" i="3" s="1"/>
  <c r="H12" i="3"/>
  <c r="I12" i="3" s="1"/>
  <c r="J12" i="3" s="1"/>
  <c r="H11" i="3"/>
  <c r="I11" i="3" s="1"/>
  <c r="J11" i="3" s="1"/>
  <c r="H10" i="3"/>
  <c r="I10" i="3" s="1"/>
  <c r="J10" i="3" s="1"/>
  <c r="H9" i="3"/>
  <c r="I9" i="3" s="1"/>
  <c r="J9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H4" i="3"/>
  <c r="I4" i="3" s="1"/>
  <c r="J4" i="3" s="1"/>
  <c r="H3" i="3"/>
  <c r="I3" i="3" s="1"/>
  <c r="J3" i="3" s="1"/>
  <c r="H2" i="3"/>
  <c r="B15" i="2"/>
  <c r="B14" i="2"/>
  <c r="B13" i="2"/>
  <c r="D27" i="10" l="1"/>
  <c r="D26" i="10"/>
  <c r="M16" i="8"/>
  <c r="H16" i="8"/>
  <c r="M15" i="8"/>
  <c r="H14" i="8"/>
  <c r="M14" i="8"/>
  <c r="H13" i="8"/>
  <c r="M13" i="8"/>
  <c r="M12" i="8"/>
  <c r="H12" i="8"/>
  <c r="H11" i="8"/>
  <c r="M11" i="8"/>
  <c r="H10" i="8"/>
  <c r="M10" i="8"/>
  <c r="H9" i="8"/>
  <c r="M9" i="8"/>
  <c r="H8" i="8"/>
  <c r="M8" i="8"/>
  <c r="H7" i="8"/>
  <c r="M7" i="8"/>
  <c r="M6" i="8"/>
  <c r="H6" i="8"/>
  <c r="H5" i="8"/>
  <c r="K261" i="7"/>
  <c r="N261" i="7" s="1"/>
  <c r="Q261" i="7"/>
  <c r="R261" i="7" s="1"/>
  <c r="K260" i="7"/>
  <c r="N260" i="7" s="1"/>
  <c r="Q260" i="7"/>
  <c r="R260" i="7" s="1"/>
  <c r="K259" i="7"/>
  <c r="N259" i="7" s="1"/>
  <c r="Q259" i="7"/>
  <c r="R259" i="7" s="1"/>
  <c r="K258" i="7"/>
  <c r="N258" i="7" s="1"/>
  <c r="Q258" i="7"/>
  <c r="R258" i="7" s="1"/>
  <c r="K257" i="7"/>
  <c r="N257" i="7" s="1"/>
  <c r="Q257" i="7"/>
  <c r="R257" i="7" s="1"/>
  <c r="K256" i="7"/>
  <c r="N256" i="7" s="1"/>
  <c r="Q256" i="7"/>
  <c r="R256" i="7" s="1"/>
  <c r="K255" i="7"/>
  <c r="N255" i="7" s="1"/>
  <c r="Q255" i="7"/>
  <c r="R255" i="7" s="1"/>
  <c r="K254" i="7"/>
  <c r="N254" i="7" s="1"/>
  <c r="Q254" i="7"/>
  <c r="R254" i="7" s="1"/>
  <c r="K253" i="7"/>
  <c r="N253" i="7" s="1"/>
  <c r="Q253" i="7"/>
  <c r="R253" i="7" s="1"/>
  <c r="K252" i="7"/>
  <c r="N252" i="7" s="1"/>
  <c r="Q252" i="7"/>
  <c r="R252" i="7" s="1"/>
  <c r="K251" i="7"/>
  <c r="N251" i="7" s="1"/>
  <c r="Q251" i="7"/>
  <c r="R251" i="7" s="1"/>
  <c r="K250" i="7"/>
  <c r="N250" i="7" s="1"/>
  <c r="Q250" i="7"/>
  <c r="R250" i="7" s="1"/>
  <c r="K249" i="7"/>
  <c r="N249" i="7" s="1"/>
  <c r="Q249" i="7"/>
  <c r="R249" i="7" s="1"/>
  <c r="K248" i="7"/>
  <c r="N248" i="7" s="1"/>
  <c r="Q248" i="7"/>
  <c r="R248" i="7" s="1"/>
  <c r="K247" i="7"/>
  <c r="N247" i="7" s="1"/>
  <c r="Q247" i="7"/>
  <c r="R247" i="7" s="1"/>
  <c r="K246" i="7"/>
  <c r="N246" i="7" s="1"/>
  <c r="Q246" i="7"/>
  <c r="R246" i="7" s="1"/>
  <c r="K245" i="7"/>
  <c r="N245" i="7" s="1"/>
  <c r="Q245" i="7"/>
  <c r="R245" i="7" s="1"/>
  <c r="K244" i="7"/>
  <c r="N244" i="7" s="1"/>
  <c r="Q244" i="7"/>
  <c r="R244" i="7" s="1"/>
  <c r="K243" i="7"/>
  <c r="N243" i="7" s="1"/>
  <c r="Q243" i="7"/>
  <c r="R243" i="7" s="1"/>
  <c r="K242" i="7"/>
  <c r="N242" i="7" s="1"/>
  <c r="Q242" i="7"/>
  <c r="R242" i="7" s="1"/>
  <c r="K241" i="7"/>
  <c r="N241" i="7" s="1"/>
  <c r="Q241" i="7"/>
  <c r="R241" i="7" s="1"/>
  <c r="K240" i="7"/>
  <c r="N240" i="7" s="1"/>
  <c r="Q240" i="7"/>
  <c r="R240" i="7" s="1"/>
  <c r="K239" i="7"/>
  <c r="N239" i="7" s="1"/>
  <c r="Q239" i="7"/>
  <c r="R239" i="7" s="1"/>
  <c r="K238" i="7"/>
  <c r="N238" i="7" s="1"/>
  <c r="Q238" i="7"/>
  <c r="R238" i="7" s="1"/>
  <c r="K237" i="7"/>
  <c r="N237" i="7" s="1"/>
  <c r="Q237" i="7"/>
  <c r="R237" i="7" s="1"/>
  <c r="K236" i="7"/>
  <c r="N236" i="7" s="1"/>
  <c r="Q236" i="7"/>
  <c r="R236" i="7" s="1"/>
  <c r="K235" i="7"/>
  <c r="N235" i="7" s="1"/>
  <c r="O235" i="7"/>
  <c r="P235" i="7" s="1"/>
  <c r="Q235" i="7"/>
  <c r="R235" i="7" s="1"/>
  <c r="K234" i="7"/>
  <c r="N234" i="7" s="1"/>
  <c r="Q234" i="7"/>
  <c r="R234" i="7" s="1"/>
  <c r="K233" i="7"/>
  <c r="N233" i="7" s="1"/>
  <c r="Q233" i="7"/>
  <c r="R233" i="7" s="1"/>
  <c r="K232" i="7"/>
  <c r="N232" i="7" s="1"/>
  <c r="Q232" i="7"/>
  <c r="R232" i="7" s="1"/>
  <c r="K231" i="7"/>
  <c r="N231" i="7" s="1"/>
  <c r="Q231" i="7"/>
  <c r="R231" i="7" s="1"/>
  <c r="K230" i="7"/>
  <c r="N230" i="7" s="1"/>
  <c r="Q230" i="7"/>
  <c r="R230" i="7" s="1"/>
  <c r="K229" i="7"/>
  <c r="N229" i="7" s="1"/>
  <c r="Q229" i="7"/>
  <c r="R229" i="7" s="1"/>
  <c r="K228" i="7"/>
  <c r="N228" i="7" s="1"/>
  <c r="Q228" i="7"/>
  <c r="R228" i="7" s="1"/>
  <c r="K227" i="7"/>
  <c r="N227" i="7" s="1"/>
  <c r="Q227" i="7"/>
  <c r="R227" i="7" s="1"/>
  <c r="K226" i="7"/>
  <c r="N226" i="7" s="1"/>
  <c r="Q226" i="7"/>
  <c r="R226" i="7" s="1"/>
  <c r="K225" i="7"/>
  <c r="N225" i="7" s="1"/>
  <c r="Q225" i="7"/>
  <c r="R225" i="7" s="1"/>
  <c r="K224" i="7"/>
  <c r="N224" i="7" s="1"/>
  <c r="Q224" i="7"/>
  <c r="R224" i="7" s="1"/>
  <c r="K223" i="7"/>
  <c r="N223" i="7" s="1"/>
  <c r="Q223" i="7"/>
  <c r="R223" i="7" s="1"/>
  <c r="K222" i="7"/>
  <c r="N222" i="7" s="1"/>
  <c r="Q222" i="7"/>
  <c r="R222" i="7" s="1"/>
  <c r="K221" i="7"/>
  <c r="N221" i="7" s="1"/>
  <c r="Q221" i="7"/>
  <c r="R221" i="7" s="1"/>
  <c r="K220" i="7"/>
  <c r="N220" i="7" s="1"/>
  <c r="Q220" i="7"/>
  <c r="R220" i="7" s="1"/>
  <c r="K219" i="7"/>
  <c r="N219" i="7" s="1"/>
  <c r="Q219" i="7"/>
  <c r="R219" i="7" s="1"/>
  <c r="K218" i="7"/>
  <c r="N218" i="7" s="1"/>
  <c r="Q218" i="7"/>
  <c r="R218" i="7" s="1"/>
  <c r="K217" i="7"/>
  <c r="N217" i="7" s="1"/>
  <c r="Q217" i="7"/>
  <c r="R217" i="7" s="1"/>
  <c r="K216" i="7"/>
  <c r="N216" i="7" s="1"/>
  <c r="Q216" i="7"/>
  <c r="R216" i="7" s="1"/>
  <c r="K215" i="7"/>
  <c r="N215" i="7" s="1"/>
  <c r="Q215" i="7"/>
  <c r="R215" i="7" s="1"/>
  <c r="K214" i="7"/>
  <c r="N214" i="7" s="1"/>
  <c r="Q214" i="7"/>
  <c r="R214" i="7" s="1"/>
  <c r="K213" i="7"/>
  <c r="N213" i="7" s="1"/>
  <c r="Q213" i="7"/>
  <c r="R213" i="7" s="1"/>
  <c r="K212" i="7"/>
  <c r="N212" i="7" s="1"/>
  <c r="Q212" i="7"/>
  <c r="R212" i="7" s="1"/>
  <c r="K211" i="7"/>
  <c r="N211" i="7" s="1"/>
  <c r="Q211" i="7" s="1"/>
  <c r="R211" i="7" s="1"/>
  <c r="K210" i="7"/>
  <c r="N210" i="7" s="1"/>
  <c r="Q210" i="7" s="1"/>
  <c r="R210" i="7" s="1"/>
  <c r="K209" i="7"/>
  <c r="N209" i="7" s="1"/>
  <c r="Q209" i="7"/>
  <c r="R209" i="7" s="1"/>
  <c r="K208" i="7"/>
  <c r="N208" i="7" s="1"/>
  <c r="Q208" i="7"/>
  <c r="R208" i="7" s="1"/>
  <c r="K207" i="7"/>
  <c r="N207" i="7" s="1"/>
  <c r="Q207" i="7"/>
  <c r="R207" i="7" s="1"/>
  <c r="K206" i="7"/>
  <c r="N206" i="7" s="1"/>
  <c r="Q206" i="7"/>
  <c r="R206" i="7" s="1"/>
  <c r="K205" i="7"/>
  <c r="N205" i="7" s="1"/>
  <c r="Q205" i="7"/>
  <c r="R205" i="7" s="1"/>
  <c r="K204" i="7"/>
  <c r="N204" i="7" s="1"/>
  <c r="Q204" i="7" s="1"/>
  <c r="R204" i="7" s="1"/>
  <c r="K203" i="7"/>
  <c r="N203" i="7" s="1"/>
  <c r="Q203" i="7" s="1"/>
  <c r="R203" i="7" s="1"/>
  <c r="K202" i="7"/>
  <c r="N202" i="7" s="1"/>
  <c r="Q202" i="7" s="1"/>
  <c r="R202" i="7" s="1"/>
  <c r="K201" i="7"/>
  <c r="N201" i="7" s="1"/>
  <c r="Q201" i="7" s="1"/>
  <c r="R201" i="7" s="1"/>
  <c r="K200" i="7"/>
  <c r="N200" i="7" s="1"/>
  <c r="Q200" i="7" s="1"/>
  <c r="R200" i="7" s="1"/>
  <c r="K199" i="7"/>
  <c r="N199" i="7" s="1"/>
  <c r="Q199" i="7" s="1"/>
  <c r="R199" i="7" s="1"/>
  <c r="K198" i="7"/>
  <c r="N198" i="7" s="1"/>
  <c r="Q198" i="7" s="1"/>
  <c r="R198" i="7" s="1"/>
  <c r="K197" i="7"/>
  <c r="N197" i="7" s="1"/>
  <c r="Q197" i="7" s="1"/>
  <c r="R197" i="7" s="1"/>
  <c r="K196" i="7"/>
  <c r="N196" i="7" s="1"/>
  <c r="Q196" i="7" s="1"/>
  <c r="R196" i="7" s="1"/>
  <c r="K195" i="7"/>
  <c r="N195" i="7" s="1"/>
  <c r="Q195" i="7" s="1"/>
  <c r="R195" i="7" s="1"/>
  <c r="K194" i="7"/>
  <c r="N194" i="7" s="1"/>
  <c r="Q194" i="7" s="1"/>
  <c r="R194" i="7" s="1"/>
  <c r="K192" i="7"/>
  <c r="N192" i="7" s="1"/>
  <c r="Q192" i="7" s="1"/>
  <c r="R192" i="7" s="1"/>
  <c r="K191" i="7"/>
  <c r="N191" i="7" s="1"/>
  <c r="Q191" i="7"/>
  <c r="R191" i="7" s="1"/>
  <c r="K190" i="7"/>
  <c r="N190" i="7" s="1"/>
  <c r="Q190" i="7" s="1"/>
  <c r="R190" i="7" s="1"/>
  <c r="K189" i="7"/>
  <c r="N189" i="7" s="1"/>
  <c r="Q189" i="7" s="1"/>
  <c r="R189" i="7" s="1"/>
  <c r="K188" i="7"/>
  <c r="N188" i="7" s="1"/>
  <c r="Q188" i="7" s="1"/>
  <c r="R188" i="7" s="1"/>
  <c r="K187" i="7"/>
  <c r="N187" i="7" s="1"/>
  <c r="Q187" i="7" s="1"/>
  <c r="R187" i="7" s="1"/>
  <c r="K186" i="7"/>
  <c r="N186" i="7" s="1"/>
  <c r="Q186" i="7" s="1"/>
  <c r="R186" i="7" s="1"/>
  <c r="K185" i="7"/>
  <c r="N185" i="7" s="1"/>
  <c r="Q185" i="7" s="1"/>
  <c r="R185" i="7" s="1"/>
  <c r="K184" i="7"/>
  <c r="N184" i="7" s="1"/>
  <c r="Q184" i="7" s="1"/>
  <c r="R184" i="7" s="1"/>
  <c r="K183" i="7"/>
  <c r="N183" i="7" s="1"/>
  <c r="Q183" i="7" s="1"/>
  <c r="R183" i="7" s="1"/>
  <c r="K182" i="7"/>
  <c r="N182" i="7" s="1"/>
  <c r="Q182" i="7" s="1"/>
  <c r="R182" i="7" s="1"/>
  <c r="K181" i="7"/>
  <c r="N181" i="7" s="1"/>
  <c r="Q181" i="7" s="1"/>
  <c r="R181" i="7" s="1"/>
  <c r="K180" i="7"/>
  <c r="N180" i="7" s="1"/>
  <c r="Q180" i="7" s="1"/>
  <c r="R180" i="7" s="1"/>
  <c r="K179" i="7"/>
  <c r="N179" i="7" s="1"/>
  <c r="Q179" i="7" s="1"/>
  <c r="R179" i="7" s="1"/>
  <c r="K178" i="7"/>
  <c r="N178" i="7" s="1"/>
  <c r="Q178" i="7" s="1"/>
  <c r="R178" i="7" s="1"/>
  <c r="K177" i="7"/>
  <c r="N177" i="7" s="1"/>
  <c r="Q177" i="7" s="1"/>
  <c r="R177" i="7" s="1"/>
  <c r="K176" i="7"/>
  <c r="N176" i="7" s="1"/>
  <c r="Q176" i="7" s="1"/>
  <c r="R176" i="7" s="1"/>
  <c r="K175" i="7"/>
  <c r="N175" i="7" s="1"/>
  <c r="Q175" i="7" s="1"/>
  <c r="R175" i="7" s="1"/>
  <c r="K174" i="7"/>
  <c r="N174" i="7" s="1"/>
  <c r="Q174" i="7" s="1"/>
  <c r="R174" i="7" s="1"/>
  <c r="K173" i="7"/>
  <c r="N173" i="7" s="1"/>
  <c r="Q173" i="7" s="1"/>
  <c r="R173" i="7" s="1"/>
  <c r="K172" i="7"/>
  <c r="N172" i="7" s="1"/>
  <c r="Q172" i="7" s="1"/>
  <c r="R172" i="7" s="1"/>
  <c r="K171" i="7"/>
  <c r="N171" i="7" s="1"/>
  <c r="Q171" i="7" s="1"/>
  <c r="R171" i="7" s="1"/>
  <c r="K170" i="7"/>
  <c r="N170" i="7" s="1"/>
  <c r="Q170" i="7" s="1"/>
  <c r="R170" i="7" s="1"/>
  <c r="K169" i="7"/>
  <c r="N169" i="7" s="1"/>
  <c r="Q169" i="7" s="1"/>
  <c r="R169" i="7" s="1"/>
  <c r="K168" i="7"/>
  <c r="N168" i="7" s="1"/>
  <c r="Q168" i="7" s="1"/>
  <c r="R168" i="7" s="1"/>
  <c r="K167" i="7"/>
  <c r="N167" i="7" s="1"/>
  <c r="Q167" i="7" s="1"/>
  <c r="R167" i="7" s="1"/>
  <c r="K166" i="7"/>
  <c r="N166" i="7" s="1"/>
  <c r="Q166" i="7" s="1"/>
  <c r="R166" i="7" s="1"/>
  <c r="K165" i="7"/>
  <c r="N165" i="7" s="1"/>
  <c r="Q165" i="7" s="1"/>
  <c r="R165" i="7" s="1"/>
  <c r="K164" i="7"/>
  <c r="N164" i="7" s="1"/>
  <c r="Q164" i="7" s="1"/>
  <c r="R164" i="7" s="1"/>
  <c r="K163" i="7"/>
  <c r="N163" i="7" s="1"/>
  <c r="Q163" i="7" s="1"/>
  <c r="R163" i="7" s="1"/>
  <c r="K162" i="7"/>
  <c r="N162" i="7" s="1"/>
  <c r="Q162" i="7" s="1"/>
  <c r="R162" i="7" s="1"/>
  <c r="K161" i="7"/>
  <c r="N161" i="7" s="1"/>
  <c r="Q161" i="7" s="1"/>
  <c r="R161" i="7" s="1"/>
  <c r="K160" i="7"/>
  <c r="N160" i="7" s="1"/>
  <c r="Q160" i="7" s="1"/>
  <c r="R160" i="7" s="1"/>
  <c r="K159" i="7"/>
  <c r="N159" i="7" s="1"/>
  <c r="Q159" i="7" s="1"/>
  <c r="R159" i="7" s="1"/>
  <c r="K157" i="7"/>
  <c r="N157" i="7" s="1"/>
  <c r="Q157" i="7" s="1"/>
  <c r="R157" i="7" s="1"/>
  <c r="K156" i="7"/>
  <c r="N156" i="7" s="1"/>
  <c r="Q156" i="7" s="1"/>
  <c r="R156" i="7" s="1"/>
  <c r="K155" i="7"/>
  <c r="N155" i="7" s="1"/>
  <c r="Q155" i="7" s="1"/>
  <c r="R155" i="7" s="1"/>
  <c r="K154" i="7"/>
  <c r="N154" i="7" s="1"/>
  <c r="Q154" i="7" s="1"/>
  <c r="R154" i="7" s="1"/>
  <c r="K153" i="7"/>
  <c r="N153" i="7" s="1"/>
  <c r="Q153" i="7" s="1"/>
  <c r="R153" i="7" s="1"/>
  <c r="K152" i="7"/>
  <c r="N152" i="7" s="1"/>
  <c r="Q152" i="7" s="1"/>
  <c r="R152" i="7" s="1"/>
  <c r="K151" i="7"/>
  <c r="N151" i="7" s="1"/>
  <c r="Q151" i="7" s="1"/>
  <c r="R151" i="7" s="1"/>
  <c r="K150" i="7"/>
  <c r="N150" i="7" s="1"/>
  <c r="Q150" i="7" s="1"/>
  <c r="R150" i="7" s="1"/>
  <c r="K149" i="7"/>
  <c r="N149" i="7" s="1"/>
  <c r="Q149" i="7" s="1"/>
  <c r="R149" i="7" s="1"/>
  <c r="K148" i="7"/>
  <c r="N148" i="7" s="1"/>
  <c r="Q148" i="7" s="1"/>
  <c r="R148" i="7" s="1"/>
  <c r="K147" i="7"/>
  <c r="N147" i="7" s="1"/>
  <c r="Q147" i="7" s="1"/>
  <c r="R147" i="7" s="1"/>
  <c r="K146" i="7"/>
  <c r="N146" i="7" s="1"/>
  <c r="Q146" i="7" s="1"/>
  <c r="R146" i="7" s="1"/>
  <c r="K145" i="7"/>
  <c r="N145" i="7" s="1"/>
  <c r="Q145" i="7" s="1"/>
  <c r="R145" i="7" s="1"/>
  <c r="K144" i="7"/>
  <c r="N144" i="7" s="1"/>
  <c r="Q144" i="7" s="1"/>
  <c r="R144" i="7" s="1"/>
  <c r="K143" i="7"/>
  <c r="N143" i="7" s="1"/>
  <c r="Q143" i="7" s="1"/>
  <c r="R143" i="7" s="1"/>
  <c r="K142" i="7"/>
  <c r="N142" i="7" s="1"/>
  <c r="Q142" i="7" s="1"/>
  <c r="R142" i="7" s="1"/>
  <c r="K141" i="7"/>
  <c r="N141" i="7" s="1"/>
  <c r="Q141" i="7" s="1"/>
  <c r="R141" i="7" s="1"/>
  <c r="K140" i="7"/>
  <c r="N140" i="7" s="1"/>
  <c r="Q140" i="7" s="1"/>
  <c r="R140" i="7" s="1"/>
  <c r="K139" i="7"/>
  <c r="N139" i="7" s="1"/>
  <c r="Q139" i="7" s="1"/>
  <c r="R139" i="7" s="1"/>
  <c r="K138" i="7"/>
  <c r="N138" i="7" s="1"/>
  <c r="Q138" i="7" s="1"/>
  <c r="R138" i="7" s="1"/>
  <c r="K137" i="7"/>
  <c r="N137" i="7" s="1"/>
  <c r="Q137" i="7" s="1"/>
  <c r="R137" i="7" s="1"/>
  <c r="K136" i="7"/>
  <c r="N136" i="7" s="1"/>
  <c r="Q136" i="7" s="1"/>
  <c r="R136" i="7" s="1"/>
  <c r="K135" i="7"/>
  <c r="N135" i="7" s="1"/>
  <c r="Q135" i="7" s="1"/>
  <c r="R135" i="7" s="1"/>
  <c r="K134" i="7"/>
  <c r="N134" i="7" s="1"/>
  <c r="Q134" i="7" s="1"/>
  <c r="R134" i="7" s="1"/>
  <c r="K133" i="7"/>
  <c r="N133" i="7" s="1"/>
  <c r="Q133" i="7" s="1"/>
  <c r="R133" i="7" s="1"/>
  <c r="K132" i="7"/>
  <c r="N132" i="7" s="1"/>
  <c r="Q132" i="7" s="1"/>
  <c r="R132" i="7" s="1"/>
  <c r="K131" i="7"/>
  <c r="N131" i="7" s="1"/>
  <c r="Q131" i="7" s="1"/>
  <c r="R131" i="7" s="1"/>
  <c r="K130" i="7"/>
  <c r="N130" i="7" s="1"/>
  <c r="Q130" i="7" s="1"/>
  <c r="R130" i="7" s="1"/>
  <c r="K129" i="7"/>
  <c r="N129" i="7" s="1"/>
  <c r="Q129" i="7" s="1"/>
  <c r="R129" i="7" s="1"/>
  <c r="K128" i="7"/>
  <c r="N128" i="7" s="1"/>
  <c r="Q128" i="7" s="1"/>
  <c r="R128" i="7" s="1"/>
  <c r="K127" i="7"/>
  <c r="N127" i="7" s="1"/>
  <c r="Q127" i="7" s="1"/>
  <c r="R127" i="7" s="1"/>
  <c r="K126" i="7"/>
  <c r="N126" i="7" s="1"/>
  <c r="Q126" i="7" s="1"/>
  <c r="R126" i="7" s="1"/>
  <c r="K125" i="7"/>
  <c r="N125" i="7" s="1"/>
  <c r="Q125" i="7" s="1"/>
  <c r="R125" i="7" s="1"/>
  <c r="K124" i="7"/>
  <c r="N124" i="7" s="1"/>
  <c r="Q124" i="7" s="1"/>
  <c r="R124" i="7" s="1"/>
  <c r="K123" i="7"/>
  <c r="N123" i="7" s="1"/>
  <c r="Q123" i="7" s="1"/>
  <c r="R123" i="7" s="1"/>
  <c r="K122" i="7"/>
  <c r="N122" i="7" s="1"/>
  <c r="Q122" i="7" s="1"/>
  <c r="R122" i="7" s="1"/>
  <c r="K121" i="7"/>
  <c r="N121" i="7" s="1"/>
  <c r="Q121" i="7" s="1"/>
  <c r="R121" i="7" s="1"/>
  <c r="K120" i="7"/>
  <c r="N120" i="7" s="1"/>
  <c r="Q120" i="7" s="1"/>
  <c r="R120" i="7" s="1"/>
  <c r="K119" i="7"/>
  <c r="N119" i="7" s="1"/>
  <c r="Q119" i="7" s="1"/>
  <c r="R119" i="7" s="1"/>
  <c r="K118" i="7"/>
  <c r="N118" i="7" s="1"/>
  <c r="Q118" i="7" s="1"/>
  <c r="R118" i="7" s="1"/>
  <c r="K117" i="7"/>
  <c r="N117" i="7" s="1"/>
  <c r="Q117" i="7"/>
  <c r="R117" i="7" s="1"/>
  <c r="K116" i="7"/>
  <c r="N116" i="7" s="1"/>
  <c r="Q116" i="7"/>
  <c r="R116" i="7" s="1"/>
  <c r="K115" i="7"/>
  <c r="N115" i="7" s="1"/>
  <c r="Q115" i="7"/>
  <c r="R115" i="7" s="1"/>
  <c r="K114" i="7"/>
  <c r="N114" i="7" s="1"/>
  <c r="Q114" i="7" s="1"/>
  <c r="R114" i="7" s="1"/>
  <c r="K113" i="7"/>
  <c r="N113" i="7" s="1"/>
  <c r="Q113" i="7"/>
  <c r="R113" i="7" s="1"/>
  <c r="K112" i="7"/>
  <c r="N112" i="7" s="1"/>
  <c r="Q112" i="7"/>
  <c r="R112" i="7" s="1"/>
  <c r="K111" i="7"/>
  <c r="N111" i="7" s="1"/>
  <c r="Q111" i="7" s="1"/>
  <c r="R111" i="7" s="1"/>
  <c r="K110" i="7"/>
  <c r="N110" i="7" s="1"/>
  <c r="Q110" i="7"/>
  <c r="R110" i="7" s="1"/>
  <c r="K109" i="7"/>
  <c r="N109" i="7" s="1"/>
  <c r="Q109" i="7" s="1"/>
  <c r="R109" i="7" s="1"/>
  <c r="K108" i="7"/>
  <c r="N108" i="7" s="1"/>
  <c r="Q108" i="7"/>
  <c r="R108" i="7" s="1"/>
  <c r="K107" i="7"/>
  <c r="N107" i="7" s="1"/>
  <c r="Q107" i="7"/>
  <c r="R107" i="7" s="1"/>
  <c r="K106" i="7"/>
  <c r="N106" i="7" s="1"/>
  <c r="Q106" i="7"/>
  <c r="R106" i="7" s="1"/>
  <c r="K105" i="7"/>
  <c r="N105" i="7" s="1"/>
  <c r="Q105" i="7"/>
  <c r="R105" i="7" s="1"/>
  <c r="K104" i="7"/>
  <c r="N104" i="7" s="1"/>
  <c r="Q104" i="7"/>
  <c r="R104" i="7" s="1"/>
  <c r="K103" i="7"/>
  <c r="N103" i="7" s="1"/>
  <c r="Q103" i="7" s="1"/>
  <c r="R103" i="7" s="1"/>
  <c r="K102" i="7"/>
  <c r="N102" i="7" s="1"/>
  <c r="Q102" i="7"/>
  <c r="R102" i="7" s="1"/>
  <c r="K101" i="7"/>
  <c r="N101" i="7" s="1"/>
  <c r="Q101" i="7"/>
  <c r="R101" i="7" s="1"/>
  <c r="K100" i="7"/>
  <c r="N100" i="7" s="1"/>
  <c r="Q100" i="7"/>
  <c r="R100" i="7" s="1"/>
  <c r="K99" i="7"/>
  <c r="N99" i="7" s="1"/>
  <c r="Q99" i="7"/>
  <c r="R99" i="7" s="1"/>
  <c r="K98" i="7"/>
  <c r="N98" i="7" s="1"/>
  <c r="Q98" i="7" s="1"/>
  <c r="R98" i="7" s="1"/>
  <c r="K97" i="7"/>
  <c r="N97" i="7" s="1"/>
  <c r="Q97" i="7"/>
  <c r="R97" i="7" s="1"/>
  <c r="K96" i="7"/>
  <c r="N96" i="7" s="1"/>
  <c r="Q96" i="7"/>
  <c r="R96" i="7" s="1"/>
  <c r="K95" i="7"/>
  <c r="N95" i="7" s="1"/>
  <c r="Q95" i="7"/>
  <c r="R95" i="7" s="1"/>
  <c r="K94" i="7"/>
  <c r="N94" i="7" s="1"/>
  <c r="Q94" i="7"/>
  <c r="R94" i="7" s="1"/>
  <c r="K93" i="7"/>
  <c r="N93" i="7" s="1"/>
  <c r="Q93" i="7"/>
  <c r="R93" i="7" s="1"/>
  <c r="K92" i="7"/>
  <c r="N92" i="7" s="1"/>
  <c r="Q92" i="7"/>
  <c r="R92" i="7" s="1"/>
  <c r="K91" i="7"/>
  <c r="N91" i="7" s="1"/>
  <c r="Q91" i="7"/>
  <c r="R91" i="7" s="1"/>
  <c r="K90" i="7"/>
  <c r="N90" i="7" s="1"/>
  <c r="Q90" i="7"/>
  <c r="R90" i="7" s="1"/>
  <c r="K89" i="7"/>
  <c r="N89" i="7" s="1"/>
  <c r="Q89" i="7"/>
  <c r="R89" i="7" s="1"/>
  <c r="K88" i="7"/>
  <c r="N88" i="7" s="1"/>
  <c r="Q88" i="7"/>
  <c r="R88" i="7" s="1"/>
  <c r="K87" i="7"/>
  <c r="N87" i="7" s="1"/>
  <c r="Q87" i="7"/>
  <c r="R87" i="7" s="1"/>
  <c r="K86" i="7"/>
  <c r="N86" i="7" s="1"/>
  <c r="Q86" i="7"/>
  <c r="R86" i="7" s="1"/>
  <c r="K85" i="7"/>
  <c r="N85" i="7" s="1"/>
  <c r="Q85" i="7"/>
  <c r="R85" i="7" s="1"/>
  <c r="K84" i="7"/>
  <c r="N84" i="7" s="1"/>
  <c r="Q84" i="7"/>
  <c r="R84" i="7" s="1"/>
  <c r="K83" i="7"/>
  <c r="N83" i="7" s="1"/>
  <c r="Q83" i="7"/>
  <c r="R83" i="7" s="1"/>
  <c r="K82" i="7"/>
  <c r="N82" i="7" s="1"/>
  <c r="Q82" i="7"/>
  <c r="R82" i="7" s="1"/>
  <c r="K81" i="7"/>
  <c r="N81" i="7" s="1"/>
  <c r="Q81" i="7"/>
  <c r="R81" i="7" s="1"/>
  <c r="K80" i="7"/>
  <c r="N80" i="7" s="1"/>
  <c r="Q80" i="7"/>
  <c r="R80" i="7" s="1"/>
  <c r="K79" i="7"/>
  <c r="N79" i="7" s="1"/>
  <c r="Q79" i="7"/>
  <c r="R79" i="7" s="1"/>
  <c r="K78" i="7"/>
  <c r="N78" i="7" s="1"/>
  <c r="Q78" i="7"/>
  <c r="R78" i="7" s="1"/>
  <c r="K77" i="7"/>
  <c r="N77" i="7" s="1"/>
  <c r="Q77" i="7"/>
  <c r="R77" i="7" s="1"/>
  <c r="K76" i="7"/>
  <c r="N76" i="7" s="1"/>
  <c r="Q76" i="7"/>
  <c r="R76" i="7" s="1"/>
  <c r="K75" i="7"/>
  <c r="N75" i="7" s="1"/>
  <c r="Q75" i="7"/>
  <c r="R75" i="7" s="1"/>
  <c r="K74" i="7"/>
  <c r="N74" i="7" s="1"/>
  <c r="Q74" i="7"/>
  <c r="R74" i="7" s="1"/>
  <c r="K73" i="7"/>
  <c r="N73" i="7" s="1"/>
  <c r="Q73" i="7"/>
  <c r="R73" i="7" s="1"/>
  <c r="K72" i="7"/>
  <c r="N72" i="7" s="1"/>
  <c r="Q72" i="7"/>
  <c r="R72" i="7" s="1"/>
  <c r="K71" i="7"/>
  <c r="N71" i="7" s="1"/>
  <c r="Q71" i="7"/>
  <c r="R71" i="7" s="1"/>
  <c r="K70" i="7"/>
  <c r="N70" i="7" s="1"/>
  <c r="Q70" i="7"/>
  <c r="R70" i="7" s="1"/>
  <c r="K69" i="7"/>
  <c r="N69" i="7" s="1"/>
  <c r="Q69" i="7"/>
  <c r="R69" i="7" s="1"/>
  <c r="K68" i="7"/>
  <c r="N68" i="7" s="1"/>
  <c r="Q68" i="7"/>
  <c r="R68" i="7" s="1"/>
  <c r="K67" i="7"/>
  <c r="N67" i="7" s="1"/>
  <c r="Q67" i="7"/>
  <c r="R67" i="7" s="1"/>
  <c r="K66" i="7"/>
  <c r="N66" i="7" s="1"/>
  <c r="Q66" i="7"/>
  <c r="R66" i="7" s="1"/>
  <c r="K65" i="7"/>
  <c r="N65" i="7" s="1"/>
  <c r="Q65" i="7"/>
  <c r="R65" i="7" s="1"/>
  <c r="K64" i="7"/>
  <c r="N64" i="7" s="1"/>
  <c r="Q64" i="7"/>
  <c r="R64" i="7" s="1"/>
  <c r="K63" i="7"/>
  <c r="N63" i="7" s="1"/>
  <c r="Q63" i="7"/>
  <c r="R63" i="7" s="1"/>
  <c r="K62" i="7"/>
  <c r="N62" i="7" s="1"/>
  <c r="Q62" i="7"/>
  <c r="R62" i="7" s="1"/>
  <c r="K61" i="7"/>
  <c r="N61" i="7" s="1"/>
  <c r="Q61" i="7"/>
  <c r="R61" i="7" s="1"/>
  <c r="K60" i="7"/>
  <c r="N60" i="7" s="1"/>
  <c r="Q60" i="7"/>
  <c r="R60" i="7" s="1"/>
  <c r="K59" i="7"/>
  <c r="N59" i="7" s="1"/>
  <c r="Q59" i="7"/>
  <c r="R59" i="7" s="1"/>
  <c r="K58" i="7"/>
  <c r="N58" i="7" s="1"/>
  <c r="Q58" i="7"/>
  <c r="R58" i="7" s="1"/>
  <c r="K57" i="7"/>
  <c r="N57" i="7" s="1"/>
  <c r="Q57" i="7" s="1"/>
  <c r="R57" i="7" s="1"/>
  <c r="K56" i="7"/>
  <c r="N56" i="7" s="1"/>
  <c r="Q56" i="7"/>
  <c r="R56" i="7" s="1"/>
  <c r="K55" i="7"/>
  <c r="N55" i="7" s="1"/>
  <c r="Q55" i="7"/>
  <c r="R55" i="7" s="1"/>
  <c r="K54" i="7"/>
  <c r="N54" i="7" s="1"/>
  <c r="Q54" i="7"/>
  <c r="R54" i="7" s="1"/>
  <c r="K53" i="7"/>
  <c r="N53" i="7" s="1"/>
  <c r="Q53" i="7"/>
  <c r="R53" i="7" s="1"/>
  <c r="K52" i="7"/>
  <c r="N52" i="7" s="1"/>
  <c r="Q52" i="7"/>
  <c r="R52" i="7" s="1"/>
  <c r="K51" i="7"/>
  <c r="N51" i="7" s="1"/>
  <c r="Q51" i="7"/>
  <c r="R51" i="7" s="1"/>
  <c r="K50" i="7"/>
  <c r="N50" i="7" s="1"/>
  <c r="Q50" i="7"/>
  <c r="R50" i="7" s="1"/>
  <c r="K49" i="7"/>
  <c r="N49" i="7" s="1"/>
  <c r="Q49" i="7"/>
  <c r="R49" i="7" s="1"/>
  <c r="K48" i="7"/>
  <c r="N48" i="7" s="1"/>
  <c r="Q48" i="7"/>
  <c r="R48" i="7" s="1"/>
  <c r="K47" i="7"/>
  <c r="N47" i="7" s="1"/>
  <c r="Q47" i="7"/>
  <c r="R47" i="7" s="1"/>
  <c r="K46" i="7"/>
  <c r="N46" i="7" s="1"/>
  <c r="Q46" i="7"/>
  <c r="R46" i="7" s="1"/>
  <c r="K45" i="7"/>
  <c r="N45" i="7" s="1"/>
  <c r="Q45" i="7"/>
  <c r="R45" i="7" s="1"/>
  <c r="K44" i="7"/>
  <c r="N44" i="7" s="1"/>
  <c r="Q44" i="7"/>
  <c r="R44" i="7" s="1"/>
  <c r="K43" i="7"/>
  <c r="N43" i="7" s="1"/>
  <c r="Q43" i="7"/>
  <c r="R43" i="7" s="1"/>
  <c r="K42" i="7"/>
  <c r="N42" i="7" s="1"/>
  <c r="Q42" i="7"/>
  <c r="R42" i="7" s="1"/>
  <c r="K41" i="7"/>
  <c r="N41" i="7" s="1"/>
  <c r="Q41" i="7"/>
  <c r="R41" i="7" s="1"/>
  <c r="K40" i="7"/>
  <c r="N40" i="7" s="1"/>
  <c r="Q40" i="7"/>
  <c r="R40" i="7" s="1"/>
  <c r="K39" i="7"/>
  <c r="N39" i="7" s="1"/>
  <c r="Q39" i="7"/>
  <c r="R39" i="7" s="1"/>
  <c r="K38" i="7"/>
  <c r="N38" i="7" s="1"/>
  <c r="Q38" i="7"/>
  <c r="R38" i="7" s="1"/>
  <c r="K37" i="7"/>
  <c r="N37" i="7" s="1"/>
  <c r="Q37" i="7"/>
  <c r="R37" i="7" s="1"/>
  <c r="K36" i="7"/>
  <c r="N36" i="7" s="1"/>
  <c r="Q36" i="7"/>
  <c r="R36" i="7" s="1"/>
  <c r="K35" i="7"/>
  <c r="N35" i="7" s="1"/>
  <c r="Q35" i="7"/>
  <c r="R35" i="7" s="1"/>
  <c r="K34" i="7"/>
  <c r="N34" i="7" s="1"/>
  <c r="Q34" i="7"/>
  <c r="R34" i="7" s="1"/>
  <c r="K33" i="7"/>
  <c r="N33" i="7" s="1"/>
  <c r="Q33" i="7"/>
  <c r="R33" i="7" s="1"/>
  <c r="K32" i="7"/>
  <c r="N32" i="7" s="1"/>
  <c r="Q32" i="7"/>
  <c r="R32" i="7" s="1"/>
  <c r="K31" i="7"/>
  <c r="N31" i="7" s="1"/>
  <c r="Q31" i="7"/>
  <c r="R31" i="7" s="1"/>
  <c r="K30" i="7"/>
  <c r="N30" i="7" s="1"/>
  <c r="Q30" i="7"/>
  <c r="R30" i="7" s="1"/>
  <c r="K29" i="7"/>
  <c r="N29" i="7" s="1"/>
  <c r="Q29" i="7"/>
  <c r="R29" i="7" s="1"/>
  <c r="K28" i="7"/>
  <c r="N28" i="7" s="1"/>
  <c r="Q28" i="7" s="1"/>
  <c r="R28" i="7" s="1"/>
  <c r="K27" i="7"/>
  <c r="N27" i="7" s="1"/>
  <c r="Q27" i="7"/>
  <c r="R27" i="7" s="1"/>
  <c r="K26" i="7"/>
  <c r="N26" i="7" s="1"/>
  <c r="Q26" i="7" s="1"/>
  <c r="R26" i="7" s="1"/>
  <c r="K25" i="7"/>
  <c r="N25" i="7" s="1"/>
  <c r="Q25" i="7"/>
  <c r="R25" i="7" s="1"/>
  <c r="K24" i="7"/>
  <c r="N24" i="7" s="1"/>
  <c r="Q24" i="7" s="1"/>
  <c r="R24" i="7" s="1"/>
  <c r="K23" i="7"/>
  <c r="N23" i="7" s="1"/>
  <c r="Q23" i="7"/>
  <c r="R23" i="7" s="1"/>
  <c r="K22" i="7"/>
  <c r="N22" i="7" s="1"/>
  <c r="Q22" i="7"/>
  <c r="R22" i="7" s="1"/>
  <c r="K21" i="7"/>
  <c r="N21" i="7" s="1"/>
  <c r="Q21" i="7" s="1"/>
  <c r="R21" i="7" s="1"/>
  <c r="K20" i="7"/>
  <c r="N20" i="7" s="1"/>
  <c r="Q20" i="7"/>
  <c r="R20" i="7" s="1"/>
  <c r="K19" i="7"/>
  <c r="N19" i="7" s="1"/>
  <c r="Q19" i="7"/>
  <c r="R19" i="7" s="1"/>
  <c r="K18" i="7"/>
  <c r="N18" i="7" s="1"/>
  <c r="Q18" i="7"/>
  <c r="R18" i="7" s="1"/>
  <c r="K17" i="7"/>
  <c r="N17" i="7" s="1"/>
  <c r="Q17" i="7"/>
  <c r="R17" i="7" s="1"/>
  <c r="K16" i="7"/>
  <c r="N16" i="7" s="1"/>
  <c r="Q16" i="7"/>
  <c r="R16" i="7" s="1"/>
  <c r="K15" i="7"/>
  <c r="N15" i="7" s="1"/>
  <c r="Q15" i="7"/>
  <c r="R15" i="7" s="1"/>
  <c r="K14" i="7"/>
  <c r="N14" i="7" s="1"/>
  <c r="Q14" i="7"/>
  <c r="R14" i="7" s="1"/>
  <c r="K13" i="7"/>
  <c r="N13" i="7" s="1"/>
  <c r="Q13" i="7"/>
  <c r="R13" i="7" s="1"/>
  <c r="K12" i="7"/>
  <c r="N12" i="7" s="1"/>
  <c r="Q12" i="7"/>
  <c r="R12" i="7" s="1"/>
  <c r="K11" i="7"/>
  <c r="N11" i="7" s="1"/>
  <c r="Q11" i="7" s="1"/>
  <c r="R11" i="7" s="1"/>
  <c r="K10" i="7"/>
  <c r="N10" i="7" s="1"/>
  <c r="Q10" i="7" s="1"/>
  <c r="R10" i="7" s="1"/>
  <c r="K9" i="7"/>
  <c r="N9" i="7" s="1"/>
  <c r="Q9" i="7"/>
  <c r="R9" i="7" s="1"/>
  <c r="K8" i="7"/>
  <c r="N8" i="7" s="1"/>
  <c r="Q8" i="7"/>
  <c r="R8" i="7" s="1"/>
  <c r="K7" i="7"/>
  <c r="N7" i="7" s="1"/>
  <c r="Q7" i="7" s="1"/>
  <c r="R7" i="7" s="1"/>
  <c r="K6" i="7"/>
  <c r="N6" i="7" s="1"/>
  <c r="Q6" i="7"/>
  <c r="R6" i="7" s="1"/>
  <c r="K5" i="7"/>
  <c r="N5" i="7" s="1"/>
  <c r="Q5" i="7" s="1"/>
  <c r="R5" i="7" s="1"/>
  <c r="K4" i="7"/>
  <c r="N4" i="7" s="1"/>
  <c r="Q4" i="7" s="1"/>
  <c r="R4" i="7" s="1"/>
  <c r="K3" i="7"/>
  <c r="N3" i="7" s="1"/>
  <c r="Q3" i="7" s="1"/>
  <c r="R3" i="7" s="1"/>
  <c r="K2" i="7"/>
  <c r="N2" i="7" s="1"/>
  <c r="Q2" i="7" s="1"/>
  <c r="H112" i="6"/>
  <c r="I112" i="6" s="1"/>
  <c r="K112" i="6"/>
  <c r="M112" i="6"/>
  <c r="N112" i="6" s="1"/>
  <c r="O112" i="6"/>
  <c r="H111" i="6"/>
  <c r="I111" i="6" s="1"/>
  <c r="K111" i="6"/>
  <c r="M111" i="6"/>
  <c r="N111" i="6" s="1"/>
  <c r="O111" i="6"/>
  <c r="M110" i="6"/>
  <c r="N110" i="6" s="1"/>
  <c r="O110" i="6"/>
  <c r="H110" i="6"/>
  <c r="I110" i="6" s="1"/>
  <c r="K110" i="6"/>
  <c r="H109" i="6"/>
  <c r="I109" i="6" s="1"/>
  <c r="K109" i="6"/>
  <c r="M109" i="6"/>
  <c r="N109" i="6" s="1"/>
  <c r="O109" i="6"/>
  <c r="H108" i="6"/>
  <c r="I108" i="6" s="1"/>
  <c r="M108" i="6"/>
  <c r="N108" i="6" s="1"/>
  <c r="O108" i="6"/>
  <c r="K108" i="6"/>
  <c r="H107" i="6"/>
  <c r="I107" i="6" s="1"/>
  <c r="K107" i="6"/>
  <c r="M107" i="6"/>
  <c r="N107" i="6" s="1"/>
  <c r="O107" i="6"/>
  <c r="H106" i="6"/>
  <c r="I106" i="6" s="1"/>
  <c r="K106" i="6"/>
  <c r="M106" i="6"/>
  <c r="N106" i="6" s="1"/>
  <c r="O106" i="6"/>
  <c r="H105" i="6"/>
  <c r="I105" i="6" s="1"/>
  <c r="K105" i="6"/>
  <c r="M105" i="6"/>
  <c r="N105" i="6" s="1"/>
  <c r="O105" i="6"/>
  <c r="H104" i="6"/>
  <c r="I104" i="6" s="1"/>
  <c r="K104" i="6"/>
  <c r="M104" i="6"/>
  <c r="N104" i="6" s="1"/>
  <c r="O104" i="6"/>
  <c r="H103" i="6"/>
  <c r="I103" i="6" s="1"/>
  <c r="K103" i="6"/>
  <c r="M103" i="6"/>
  <c r="N103" i="6" s="1"/>
  <c r="O103" i="6"/>
  <c r="H102" i="6"/>
  <c r="I102" i="6" s="1"/>
  <c r="K102" i="6"/>
  <c r="M102" i="6"/>
  <c r="N102" i="6" s="1"/>
  <c r="O102" i="6"/>
  <c r="H101" i="6"/>
  <c r="I101" i="6" s="1"/>
  <c r="K101" i="6"/>
  <c r="M101" i="6"/>
  <c r="N101" i="6" s="1"/>
  <c r="O101" i="6"/>
  <c r="H100" i="6"/>
  <c r="I100" i="6" s="1"/>
  <c r="K100" i="6"/>
  <c r="M100" i="6"/>
  <c r="N100" i="6" s="1"/>
  <c r="O100" i="6"/>
  <c r="K99" i="6"/>
  <c r="H99" i="6"/>
  <c r="I99" i="6" s="1"/>
  <c r="M99" i="6"/>
  <c r="N99" i="6" s="1"/>
  <c r="O99" i="6"/>
  <c r="H98" i="6"/>
  <c r="I98" i="6" s="1"/>
  <c r="K98" i="6"/>
  <c r="M98" i="6"/>
  <c r="N98" i="6" s="1"/>
  <c r="O98" i="6"/>
  <c r="H97" i="6"/>
  <c r="I97" i="6" s="1"/>
  <c r="K97" i="6"/>
  <c r="M97" i="6"/>
  <c r="N97" i="6" s="1"/>
  <c r="O97" i="6"/>
  <c r="H96" i="6"/>
  <c r="I96" i="6" s="1"/>
  <c r="K96" i="6"/>
  <c r="M96" i="6"/>
  <c r="N96" i="6" s="1"/>
  <c r="O96" i="6"/>
  <c r="H95" i="6"/>
  <c r="I95" i="6" s="1"/>
  <c r="K95" i="6"/>
  <c r="M95" i="6"/>
  <c r="N95" i="6" s="1"/>
  <c r="O95" i="6"/>
  <c r="H94" i="6"/>
  <c r="I94" i="6"/>
  <c r="J94" i="6" s="1"/>
  <c r="K94" i="6"/>
  <c r="M94" i="6"/>
  <c r="N94" i="6" s="1"/>
  <c r="O94" i="6"/>
  <c r="R94" i="6"/>
  <c r="S94" i="6" s="1"/>
  <c r="H93" i="6"/>
  <c r="I93" i="6"/>
  <c r="J93" i="6" s="1"/>
  <c r="K93" i="6"/>
  <c r="M93" i="6"/>
  <c r="N93" i="6" s="1"/>
  <c r="O93" i="6"/>
  <c r="R93" i="6"/>
  <c r="S93" i="6" s="1"/>
  <c r="M92" i="6"/>
  <c r="N92" i="6" s="1"/>
  <c r="H92" i="6"/>
  <c r="I92" i="6" s="1"/>
  <c r="K92" i="6"/>
  <c r="O92" i="6"/>
  <c r="H91" i="6"/>
  <c r="I91" i="6" s="1"/>
  <c r="K91" i="6"/>
  <c r="M91" i="6"/>
  <c r="N91" i="6" s="1"/>
  <c r="O91" i="6"/>
  <c r="H90" i="6"/>
  <c r="I90" i="6"/>
  <c r="J90" i="6" s="1"/>
  <c r="K90" i="6"/>
  <c r="M90" i="6"/>
  <c r="N90" i="6" s="1"/>
  <c r="O90" i="6"/>
  <c r="R90" i="6"/>
  <c r="S90" i="6" s="1"/>
  <c r="M89" i="6"/>
  <c r="N89" i="6" s="1"/>
  <c r="H89" i="6"/>
  <c r="I89" i="6" s="1"/>
  <c r="K89" i="6"/>
  <c r="O89" i="6"/>
  <c r="M88" i="6"/>
  <c r="N88" i="6" s="1"/>
  <c r="H88" i="6"/>
  <c r="I88" i="6" s="1"/>
  <c r="K88" i="6"/>
  <c r="O88" i="6"/>
  <c r="H87" i="6"/>
  <c r="I87" i="6"/>
  <c r="J87" i="6" s="1"/>
  <c r="K87" i="6"/>
  <c r="M87" i="6"/>
  <c r="N87" i="6" s="1"/>
  <c r="O87" i="6"/>
  <c r="R87" i="6"/>
  <c r="S87" i="6" s="1"/>
  <c r="H86" i="6"/>
  <c r="I86" i="6"/>
  <c r="J86" i="6" s="1"/>
  <c r="K86" i="6"/>
  <c r="M86" i="6"/>
  <c r="N86" i="6" s="1"/>
  <c r="O86" i="6"/>
  <c r="R86" i="6"/>
  <c r="S86" i="6" s="1"/>
  <c r="H85" i="6"/>
  <c r="I85" i="6"/>
  <c r="K85" i="6"/>
  <c r="M85" i="6"/>
  <c r="N85" i="6" s="1"/>
  <c r="O85" i="6"/>
  <c r="H84" i="6"/>
  <c r="I84" i="6"/>
  <c r="J84" i="6" s="1"/>
  <c r="K84" i="6"/>
  <c r="M84" i="6"/>
  <c r="N84" i="6" s="1"/>
  <c r="O84" i="6"/>
  <c r="R84" i="6"/>
  <c r="S84" i="6" s="1"/>
  <c r="K83" i="6"/>
  <c r="M83" i="6"/>
  <c r="N83" i="6" s="1"/>
  <c r="O83" i="6"/>
  <c r="H83" i="6"/>
  <c r="I83" i="6" s="1"/>
  <c r="H82" i="6"/>
  <c r="I82" i="6"/>
  <c r="J82" i="6" s="1"/>
  <c r="K82" i="6"/>
  <c r="M82" i="6"/>
  <c r="N82" i="6" s="1"/>
  <c r="O82" i="6"/>
  <c r="R82" i="6"/>
  <c r="S82" i="6" s="1"/>
  <c r="H81" i="6"/>
  <c r="I81" i="6"/>
  <c r="J81" i="6" s="1"/>
  <c r="K81" i="6"/>
  <c r="M81" i="6"/>
  <c r="N81" i="6" s="1"/>
  <c r="O81" i="6"/>
  <c r="R81" i="6"/>
  <c r="S81" i="6" s="1"/>
  <c r="H80" i="6"/>
  <c r="I80" i="6"/>
  <c r="K80" i="6"/>
  <c r="M80" i="6"/>
  <c r="N80" i="6" s="1"/>
  <c r="O80" i="6"/>
  <c r="M79" i="6"/>
  <c r="N79" i="6" s="1"/>
  <c r="O79" i="6"/>
  <c r="H79" i="6"/>
  <c r="I79" i="6" s="1"/>
  <c r="K79" i="6"/>
  <c r="H78" i="6"/>
  <c r="I78" i="6" s="1"/>
  <c r="K78" i="6"/>
  <c r="M78" i="6"/>
  <c r="N78" i="6" s="1"/>
  <c r="O78" i="6"/>
  <c r="H77" i="6"/>
  <c r="I77" i="6"/>
  <c r="J77" i="6" s="1"/>
  <c r="K77" i="6"/>
  <c r="M77" i="6"/>
  <c r="N77" i="6" s="1"/>
  <c r="O77" i="6"/>
  <c r="R77" i="6"/>
  <c r="S77" i="6" s="1"/>
  <c r="K76" i="6"/>
  <c r="M76" i="6"/>
  <c r="N76" i="6" s="1"/>
  <c r="O76" i="6"/>
  <c r="H76" i="6"/>
  <c r="I76" i="6" s="1"/>
  <c r="K75" i="6"/>
  <c r="M75" i="6"/>
  <c r="N75" i="6" s="1"/>
  <c r="O75" i="6"/>
  <c r="H75" i="6"/>
  <c r="I75" i="6" s="1"/>
  <c r="H74" i="6"/>
  <c r="I74" i="6"/>
  <c r="J74" i="6" s="1"/>
  <c r="K74" i="6"/>
  <c r="M74" i="6"/>
  <c r="O74" i="6"/>
  <c r="H73" i="6"/>
  <c r="I73" i="6" s="1"/>
  <c r="K73" i="6"/>
  <c r="M73" i="6"/>
  <c r="N73" i="6" s="1"/>
  <c r="O73" i="6"/>
  <c r="K72" i="6"/>
  <c r="H72" i="6"/>
  <c r="I72" i="6" s="1"/>
  <c r="M72" i="6"/>
  <c r="N72" i="6" s="1"/>
  <c r="O72" i="6"/>
  <c r="H71" i="6"/>
  <c r="I71" i="6" s="1"/>
  <c r="K71" i="6"/>
  <c r="M71" i="6"/>
  <c r="N71" i="6" s="1"/>
  <c r="O71" i="6"/>
  <c r="K70" i="6"/>
  <c r="M70" i="6"/>
  <c r="N70" i="6" s="1"/>
  <c r="O70" i="6"/>
  <c r="H70" i="6"/>
  <c r="I70" i="6" s="1"/>
  <c r="H69" i="6"/>
  <c r="I69" i="6" s="1"/>
  <c r="K69" i="6"/>
  <c r="M69" i="6"/>
  <c r="N69" i="6" s="1"/>
  <c r="O69" i="6"/>
  <c r="K68" i="6"/>
  <c r="M68" i="6"/>
  <c r="N68" i="6" s="1"/>
  <c r="O68" i="6"/>
  <c r="H68" i="6"/>
  <c r="I68" i="6" s="1"/>
  <c r="M67" i="6"/>
  <c r="N67" i="6" s="1"/>
  <c r="H67" i="6"/>
  <c r="I67" i="6" s="1"/>
  <c r="K67" i="6"/>
  <c r="O67" i="6"/>
  <c r="H66" i="6"/>
  <c r="I66" i="6" s="1"/>
  <c r="K66" i="6"/>
  <c r="M66" i="6"/>
  <c r="N66" i="6" s="1"/>
  <c r="O66" i="6"/>
  <c r="H65" i="6"/>
  <c r="I65" i="6" s="1"/>
  <c r="K65" i="6"/>
  <c r="M65" i="6"/>
  <c r="N65" i="6" s="1"/>
  <c r="O65" i="6"/>
  <c r="H64" i="6"/>
  <c r="I64" i="6" s="1"/>
  <c r="K64" i="6"/>
  <c r="M64" i="6"/>
  <c r="N64" i="6" s="1"/>
  <c r="O64" i="6"/>
  <c r="H63" i="6"/>
  <c r="I63" i="6" s="1"/>
  <c r="K63" i="6"/>
  <c r="M63" i="6"/>
  <c r="N63" i="6" s="1"/>
  <c r="O63" i="6"/>
  <c r="H62" i="6"/>
  <c r="I62" i="6" s="1"/>
  <c r="K62" i="6"/>
  <c r="M62" i="6"/>
  <c r="N62" i="6" s="1"/>
  <c r="O62" i="6"/>
  <c r="H61" i="6"/>
  <c r="I61" i="6" s="1"/>
  <c r="K61" i="6"/>
  <c r="M61" i="6"/>
  <c r="N61" i="6" s="1"/>
  <c r="O61" i="6"/>
  <c r="H60" i="6"/>
  <c r="I60" i="6" s="1"/>
  <c r="K60" i="6"/>
  <c r="M60" i="6"/>
  <c r="N60" i="6" s="1"/>
  <c r="O60" i="6"/>
  <c r="H59" i="6"/>
  <c r="I59" i="6" s="1"/>
  <c r="K59" i="6"/>
  <c r="M59" i="6"/>
  <c r="N59" i="6" s="1"/>
  <c r="O59" i="6"/>
  <c r="H58" i="6"/>
  <c r="I58" i="6" s="1"/>
  <c r="K58" i="6"/>
  <c r="M58" i="6"/>
  <c r="N58" i="6" s="1"/>
  <c r="O58" i="6"/>
  <c r="H57" i="6"/>
  <c r="I57" i="6" s="1"/>
  <c r="M57" i="6"/>
  <c r="N57" i="6" s="1"/>
  <c r="O57" i="6"/>
  <c r="K57" i="6"/>
  <c r="H56" i="6"/>
  <c r="I56" i="6"/>
  <c r="K56" i="6"/>
  <c r="M56" i="6"/>
  <c r="N56" i="6" s="1"/>
  <c r="O56" i="6"/>
  <c r="H55" i="6"/>
  <c r="I55" i="6" s="1"/>
  <c r="K55" i="6"/>
  <c r="M55" i="6"/>
  <c r="N55" i="6" s="1"/>
  <c r="O55" i="6"/>
  <c r="H54" i="6"/>
  <c r="I54" i="6" s="1"/>
  <c r="K54" i="6"/>
  <c r="M54" i="6"/>
  <c r="N54" i="6" s="1"/>
  <c r="O54" i="6"/>
  <c r="H53" i="6"/>
  <c r="I53" i="6" s="1"/>
  <c r="K53" i="6"/>
  <c r="M53" i="6"/>
  <c r="N53" i="6" s="1"/>
  <c r="O53" i="6"/>
  <c r="H52" i="6"/>
  <c r="I52" i="6" s="1"/>
  <c r="K52" i="6"/>
  <c r="M52" i="6"/>
  <c r="N52" i="6" s="1"/>
  <c r="O52" i="6"/>
  <c r="H51" i="6"/>
  <c r="K51" i="6"/>
  <c r="M51" i="6"/>
  <c r="O51" i="6"/>
  <c r="I51" i="6"/>
  <c r="J51" i="6" s="1"/>
  <c r="L51" i="6" s="1"/>
  <c r="Q51" i="6" s="1"/>
  <c r="H50" i="6"/>
  <c r="I50" i="6" s="1"/>
  <c r="K50" i="6"/>
  <c r="M50" i="6"/>
  <c r="N50" i="6" s="1"/>
  <c r="O50" i="6"/>
  <c r="K49" i="6"/>
  <c r="M49" i="6"/>
  <c r="N49" i="6" s="1"/>
  <c r="O49" i="6"/>
  <c r="H49" i="6"/>
  <c r="I49" i="6" s="1"/>
  <c r="H48" i="6"/>
  <c r="I48" i="6" s="1"/>
  <c r="K48" i="6"/>
  <c r="M48" i="6"/>
  <c r="N48" i="6" s="1"/>
  <c r="O48" i="6"/>
  <c r="H47" i="6"/>
  <c r="I47" i="6" s="1"/>
  <c r="K47" i="6"/>
  <c r="M47" i="6"/>
  <c r="N47" i="6" s="1"/>
  <c r="O47" i="6"/>
  <c r="H46" i="6"/>
  <c r="I46" i="6" s="1"/>
  <c r="K46" i="6"/>
  <c r="M46" i="6"/>
  <c r="N46" i="6" s="1"/>
  <c r="O46" i="6"/>
  <c r="H45" i="6"/>
  <c r="I45" i="6" s="1"/>
  <c r="K45" i="6"/>
  <c r="M45" i="6"/>
  <c r="N45" i="6" s="1"/>
  <c r="O45" i="6"/>
  <c r="M44" i="6"/>
  <c r="N44" i="6" s="1"/>
  <c r="H44" i="6"/>
  <c r="I44" i="6" s="1"/>
  <c r="K44" i="6"/>
  <c r="O44" i="6"/>
  <c r="M43" i="6"/>
  <c r="N43" i="6" s="1"/>
  <c r="O43" i="6"/>
  <c r="H43" i="6"/>
  <c r="I43" i="6" s="1"/>
  <c r="K43" i="6"/>
  <c r="K42" i="6"/>
  <c r="O42" i="6"/>
  <c r="H42" i="6"/>
  <c r="I42" i="6" s="1"/>
  <c r="M42" i="6"/>
  <c r="N42" i="6" s="1"/>
  <c r="H41" i="6"/>
  <c r="I41" i="6"/>
  <c r="J41" i="6" s="1"/>
  <c r="K41" i="6"/>
  <c r="M41" i="6"/>
  <c r="N41" i="6" s="1"/>
  <c r="O41" i="6"/>
  <c r="R41" i="6"/>
  <c r="S41" i="6" s="1"/>
  <c r="H40" i="6"/>
  <c r="I40" i="6"/>
  <c r="J40" i="6" s="1"/>
  <c r="K40" i="6"/>
  <c r="M40" i="6"/>
  <c r="N40" i="6" s="1"/>
  <c r="O40" i="6"/>
  <c r="R40" i="6"/>
  <c r="S40" i="6" s="1"/>
  <c r="H39" i="6"/>
  <c r="I39" i="6" s="1"/>
  <c r="K39" i="6"/>
  <c r="M39" i="6"/>
  <c r="N39" i="6" s="1"/>
  <c r="O39" i="6"/>
  <c r="K38" i="6"/>
  <c r="O38" i="6"/>
  <c r="H38" i="6"/>
  <c r="I38" i="6" s="1"/>
  <c r="M38" i="6"/>
  <c r="N38" i="6" s="1"/>
  <c r="H37" i="6"/>
  <c r="I37" i="6"/>
  <c r="J37" i="6" s="1"/>
  <c r="K37" i="6"/>
  <c r="M37" i="6"/>
  <c r="N37" i="6" s="1"/>
  <c r="O37" i="6"/>
  <c r="R37" i="6"/>
  <c r="S37" i="6" s="1"/>
  <c r="H36" i="6"/>
  <c r="I36" i="6"/>
  <c r="J36" i="6" s="1"/>
  <c r="K36" i="6"/>
  <c r="M36" i="6"/>
  <c r="N36" i="6" s="1"/>
  <c r="O36" i="6"/>
  <c r="R36" i="6"/>
  <c r="S36" i="6" s="1"/>
  <c r="H35" i="6"/>
  <c r="I35" i="6"/>
  <c r="J35" i="6" s="1"/>
  <c r="K35" i="6"/>
  <c r="M35" i="6"/>
  <c r="N35" i="6" s="1"/>
  <c r="O35" i="6"/>
  <c r="R35" i="6"/>
  <c r="S35" i="6" s="1"/>
  <c r="H34" i="6"/>
  <c r="I34" i="6"/>
  <c r="J34" i="6" s="1"/>
  <c r="K34" i="6"/>
  <c r="M34" i="6"/>
  <c r="N34" i="6" s="1"/>
  <c r="O34" i="6"/>
  <c r="R34" i="6"/>
  <c r="S34" i="6" s="1"/>
  <c r="H33" i="6"/>
  <c r="I33" i="6"/>
  <c r="J33" i="6" s="1"/>
  <c r="K33" i="6"/>
  <c r="M33" i="6"/>
  <c r="N33" i="6" s="1"/>
  <c r="O33" i="6"/>
  <c r="R33" i="6"/>
  <c r="S33" i="6" s="1"/>
  <c r="K32" i="6"/>
  <c r="M32" i="6"/>
  <c r="N32" i="6" s="1"/>
  <c r="O32" i="6"/>
  <c r="H32" i="6"/>
  <c r="I32" i="6" s="1"/>
  <c r="O31" i="6"/>
  <c r="H31" i="6"/>
  <c r="I31" i="6" s="1"/>
  <c r="K31" i="6"/>
  <c r="M31" i="6"/>
  <c r="N31" i="6" s="1"/>
  <c r="H30" i="6"/>
  <c r="I30" i="6"/>
  <c r="J30" i="6" s="1"/>
  <c r="K30" i="6"/>
  <c r="M30" i="6"/>
  <c r="N30" i="6" s="1"/>
  <c r="O30" i="6"/>
  <c r="R30" i="6"/>
  <c r="S30" i="6" s="1"/>
  <c r="H29" i="6"/>
  <c r="I29" i="6"/>
  <c r="J29" i="6" s="1"/>
  <c r="K29" i="6"/>
  <c r="M29" i="6"/>
  <c r="N29" i="6" s="1"/>
  <c r="O29" i="6"/>
  <c r="R29" i="6"/>
  <c r="S29" i="6" s="1"/>
  <c r="H28" i="6"/>
  <c r="I28" i="6"/>
  <c r="J28" i="6" s="1"/>
  <c r="K28" i="6"/>
  <c r="M28" i="6"/>
  <c r="N28" i="6" s="1"/>
  <c r="O28" i="6"/>
  <c r="R28" i="6"/>
  <c r="S28" i="6" s="1"/>
  <c r="H27" i="6"/>
  <c r="I27" i="6"/>
  <c r="J27" i="6" s="1"/>
  <c r="K27" i="6"/>
  <c r="M27" i="6"/>
  <c r="N27" i="6" s="1"/>
  <c r="O27" i="6"/>
  <c r="R27" i="6"/>
  <c r="S27" i="6" s="1"/>
  <c r="K26" i="6"/>
  <c r="M26" i="6"/>
  <c r="N26" i="6" s="1"/>
  <c r="O26" i="6"/>
  <c r="H26" i="6"/>
  <c r="I26" i="6" s="1"/>
  <c r="K25" i="6"/>
  <c r="M25" i="6"/>
  <c r="N25" i="6" s="1"/>
  <c r="O25" i="6"/>
  <c r="H25" i="6"/>
  <c r="I25" i="6" s="1"/>
  <c r="H24" i="6"/>
  <c r="I24" i="6"/>
  <c r="J24" i="6" s="1"/>
  <c r="K24" i="6"/>
  <c r="M24" i="6"/>
  <c r="N24" i="6" s="1"/>
  <c r="O24" i="6"/>
  <c r="R24" i="6"/>
  <c r="S24" i="6" s="1"/>
  <c r="H23" i="6"/>
  <c r="I23" i="6"/>
  <c r="J23" i="6" s="1"/>
  <c r="K23" i="6"/>
  <c r="M23" i="6"/>
  <c r="N23" i="6" s="1"/>
  <c r="O23" i="6"/>
  <c r="R23" i="6"/>
  <c r="S23" i="6" s="1"/>
  <c r="H22" i="6"/>
  <c r="I22" i="6"/>
  <c r="J22" i="6" s="1"/>
  <c r="K22" i="6"/>
  <c r="M22" i="6"/>
  <c r="N22" i="6" s="1"/>
  <c r="O22" i="6"/>
  <c r="R22" i="6"/>
  <c r="S22" i="6" s="1"/>
  <c r="H21" i="6"/>
  <c r="I21" i="6"/>
  <c r="J21" i="6" s="1"/>
  <c r="K21" i="6"/>
  <c r="M21" i="6"/>
  <c r="N21" i="6" s="1"/>
  <c r="O21" i="6"/>
  <c r="R21" i="6"/>
  <c r="S21" i="6" s="1"/>
  <c r="H20" i="6"/>
  <c r="I20" i="6"/>
  <c r="J20" i="6" s="1"/>
  <c r="K20" i="6"/>
  <c r="M20" i="6"/>
  <c r="N20" i="6" s="1"/>
  <c r="O20" i="6"/>
  <c r="R20" i="6"/>
  <c r="S20" i="6" s="1"/>
  <c r="H19" i="6"/>
  <c r="I19" i="6"/>
  <c r="J19" i="6" s="1"/>
  <c r="K19" i="6"/>
  <c r="M19" i="6"/>
  <c r="N19" i="6" s="1"/>
  <c r="O19" i="6"/>
  <c r="R19" i="6"/>
  <c r="S19" i="6" s="1"/>
  <c r="H18" i="6"/>
  <c r="I18" i="6"/>
  <c r="J18" i="6" s="1"/>
  <c r="K18" i="6"/>
  <c r="M18" i="6"/>
  <c r="N18" i="6" s="1"/>
  <c r="O18" i="6"/>
  <c r="R18" i="6"/>
  <c r="S18" i="6" s="1"/>
  <c r="H17" i="6"/>
  <c r="I17" i="6"/>
  <c r="J17" i="6" s="1"/>
  <c r="K17" i="6"/>
  <c r="M17" i="6"/>
  <c r="N17" i="6" s="1"/>
  <c r="O17" i="6"/>
  <c r="R17" i="6"/>
  <c r="S17" i="6" s="1"/>
  <c r="H16" i="6"/>
  <c r="I16" i="6" s="1"/>
  <c r="K16" i="6"/>
  <c r="M16" i="6"/>
  <c r="N16" i="6" s="1"/>
  <c r="O16" i="6"/>
  <c r="H15" i="6"/>
  <c r="I15" i="6" s="1"/>
  <c r="K15" i="6"/>
  <c r="M15" i="6"/>
  <c r="N15" i="6" s="1"/>
  <c r="O15" i="6"/>
  <c r="H14" i="6"/>
  <c r="I14" i="6" s="1"/>
  <c r="K14" i="6"/>
  <c r="M14" i="6"/>
  <c r="N14" i="6" s="1"/>
  <c r="O14" i="6"/>
  <c r="H13" i="6"/>
  <c r="I13" i="6" s="1"/>
  <c r="K13" i="6"/>
  <c r="M13" i="6"/>
  <c r="N13" i="6" s="1"/>
  <c r="O13" i="6"/>
  <c r="H12" i="6"/>
  <c r="I12" i="6" s="1"/>
  <c r="K12" i="6"/>
  <c r="M12" i="6"/>
  <c r="N12" i="6" s="1"/>
  <c r="O12" i="6"/>
  <c r="H11" i="6"/>
  <c r="I11" i="6"/>
  <c r="J11" i="6" s="1"/>
  <c r="K11" i="6"/>
  <c r="M11" i="6"/>
  <c r="N11" i="6" s="1"/>
  <c r="O11" i="6"/>
  <c r="R11" i="6"/>
  <c r="S11" i="6" s="1"/>
  <c r="H10" i="6"/>
  <c r="I10" i="6"/>
  <c r="J10" i="6" s="1"/>
  <c r="K10" i="6"/>
  <c r="M10" i="6"/>
  <c r="N10" i="6" s="1"/>
  <c r="O10" i="6"/>
  <c r="R10" i="6"/>
  <c r="S10" i="6" s="1"/>
  <c r="H9" i="6"/>
  <c r="I9" i="6"/>
  <c r="J9" i="6" s="1"/>
  <c r="K9" i="6"/>
  <c r="M9" i="6"/>
  <c r="N9" i="6" s="1"/>
  <c r="O9" i="6"/>
  <c r="R9" i="6"/>
  <c r="S9" i="6" s="1"/>
  <c r="H8" i="6"/>
  <c r="I8" i="6"/>
  <c r="J8" i="6" s="1"/>
  <c r="K8" i="6"/>
  <c r="M8" i="6"/>
  <c r="N8" i="6" s="1"/>
  <c r="O8" i="6"/>
  <c r="R8" i="6"/>
  <c r="S8" i="6" s="1"/>
  <c r="H7" i="6"/>
  <c r="I7" i="6"/>
  <c r="J7" i="6" s="1"/>
  <c r="K7" i="6"/>
  <c r="M7" i="6"/>
  <c r="N7" i="6" s="1"/>
  <c r="O7" i="6"/>
  <c r="R7" i="6"/>
  <c r="S7" i="6" s="1"/>
  <c r="H6" i="6"/>
  <c r="I6" i="6"/>
  <c r="J6" i="6" s="1"/>
  <c r="K6" i="6"/>
  <c r="M6" i="6"/>
  <c r="N6" i="6" s="1"/>
  <c r="O6" i="6"/>
  <c r="R6" i="6"/>
  <c r="S6" i="6" s="1"/>
  <c r="H5" i="6"/>
  <c r="I5" i="6"/>
  <c r="J5" i="6" s="1"/>
  <c r="K5" i="6"/>
  <c r="M5" i="6"/>
  <c r="N5" i="6" s="1"/>
  <c r="O5" i="6"/>
  <c r="R5" i="6"/>
  <c r="S5" i="6" s="1"/>
  <c r="H4" i="6"/>
  <c r="I4" i="6"/>
  <c r="J4" i="6" s="1"/>
  <c r="K4" i="6"/>
  <c r="M4" i="6"/>
  <c r="N4" i="6" s="1"/>
  <c r="O4" i="6"/>
  <c r="R4" i="6"/>
  <c r="S4" i="6" s="1"/>
  <c r="H3" i="6"/>
  <c r="I3" i="6"/>
  <c r="J3" i="6" s="1"/>
  <c r="K3" i="6"/>
  <c r="M3" i="6"/>
  <c r="N3" i="6" s="1"/>
  <c r="O3" i="6"/>
  <c r="R3" i="6"/>
  <c r="S3" i="6" s="1"/>
  <c r="E16" i="11"/>
  <c r="G2" i="6"/>
  <c r="I2" i="3"/>
  <c r="J158" i="7"/>
  <c r="J193" i="7"/>
  <c r="M12" i="5"/>
  <c r="N12" i="5" s="1"/>
  <c r="M10" i="5"/>
  <c r="N10" i="5" s="1"/>
  <c r="M9" i="5"/>
  <c r="N9" i="5" s="1"/>
  <c r="M6" i="5"/>
  <c r="N6" i="5" s="1"/>
  <c r="M5" i="5"/>
  <c r="N5" i="5" s="1"/>
  <c r="M3" i="5"/>
  <c r="N3" i="5" s="1"/>
  <c r="M2" i="5"/>
  <c r="M13" i="5"/>
  <c r="N13" i="5" s="1"/>
  <c r="M11" i="5"/>
  <c r="N11" i="5" s="1"/>
  <c r="M8" i="5"/>
  <c r="N8" i="5" s="1"/>
  <c r="M7" i="5"/>
  <c r="N7" i="5" s="1"/>
  <c r="M4" i="5"/>
  <c r="N4" i="5" s="1"/>
  <c r="M20" i="5"/>
  <c r="N20" i="5" s="1"/>
  <c r="M14" i="5"/>
  <c r="N14" i="5" s="1"/>
  <c r="M18" i="5"/>
  <c r="N18" i="5" s="1"/>
  <c r="M17" i="5"/>
  <c r="N17" i="5" s="1"/>
  <c r="M15" i="5"/>
  <c r="N15" i="5" s="1"/>
  <c r="R2" i="7" l="1"/>
  <c r="H2" i="6"/>
  <c r="E15" i="11" s="1"/>
  <c r="I2" i="6"/>
  <c r="J2" i="6" s="1"/>
  <c r="K2" i="6"/>
  <c r="M2" i="6"/>
  <c r="R2" i="6" s="1"/>
  <c r="O2" i="6"/>
  <c r="J2" i="3"/>
  <c r="E22" i="11" s="1"/>
  <c r="E5" i="11"/>
  <c r="K158" i="7"/>
  <c r="N158" i="7" s="1"/>
  <c r="Q158" i="7" s="1"/>
  <c r="K193" i="7"/>
  <c r="N193" i="7" s="1"/>
  <c r="Q193" i="7" s="1"/>
  <c r="R193" i="7" s="1"/>
  <c r="E7" i="11"/>
  <c r="E10" i="11"/>
  <c r="E9" i="11"/>
  <c r="E8" i="11"/>
  <c r="E6" i="11"/>
  <c r="N2" i="5"/>
  <c r="E23" i="11" s="1"/>
  <c r="L94" i="6"/>
  <c r="Q94" i="6" s="1"/>
  <c r="L93" i="6"/>
  <c r="Q93" i="6" s="1"/>
  <c r="L90" i="6"/>
  <c r="Q90" i="6" s="1"/>
  <c r="L87" i="6"/>
  <c r="Q87" i="6" s="1"/>
  <c r="L86" i="6"/>
  <c r="L85" i="6"/>
  <c r="Q85" i="6" s="1"/>
  <c r="L84" i="6"/>
  <c r="Q84" i="6" s="1"/>
  <c r="L82" i="6"/>
  <c r="Q82" i="6" s="1"/>
  <c r="L81" i="6"/>
  <c r="Q81" i="6" s="1"/>
  <c r="L80" i="6"/>
  <c r="Q80" i="6" s="1"/>
  <c r="L77" i="6"/>
  <c r="L74" i="6"/>
  <c r="Q74" i="6" s="1"/>
  <c r="L41" i="6"/>
  <c r="L40" i="6"/>
  <c r="Q40" i="6" s="1"/>
  <c r="L37" i="6"/>
  <c r="Q37" i="6" s="1"/>
  <c r="L36" i="6"/>
  <c r="Q36" i="6" s="1"/>
  <c r="L35" i="6"/>
  <c r="Q35" i="6" s="1"/>
  <c r="L34" i="6"/>
  <c r="Q34" i="6" s="1"/>
  <c r="L33" i="6"/>
  <c r="Q33" i="6" s="1"/>
  <c r="L30" i="6"/>
  <c r="L29" i="6"/>
  <c r="Q29" i="6" s="1"/>
  <c r="L28" i="6"/>
  <c r="Q28" i="6" s="1"/>
  <c r="L27" i="6"/>
  <c r="Q27" i="6" s="1"/>
  <c r="L24" i="6"/>
  <c r="Q24" i="6" s="1"/>
  <c r="L23" i="6"/>
  <c r="Q23" i="6" s="1"/>
  <c r="L22" i="6"/>
  <c r="Q22" i="6" s="1"/>
  <c r="L21" i="6"/>
  <c r="Q21" i="6" s="1"/>
  <c r="L20" i="6"/>
  <c r="L19" i="6"/>
  <c r="Q19" i="6" s="1"/>
  <c r="L18" i="6"/>
  <c r="Q18" i="6" s="1"/>
  <c r="L17" i="6"/>
  <c r="Q17" i="6" s="1"/>
  <c r="L11" i="6"/>
  <c r="L10" i="6"/>
  <c r="Q10" i="6" s="1"/>
  <c r="L9" i="6"/>
  <c r="Q9" i="6" s="1"/>
  <c r="L8" i="6"/>
  <c r="Q8" i="6" s="1"/>
  <c r="L7" i="6"/>
  <c r="Q7" i="6" s="1"/>
  <c r="L6" i="6"/>
  <c r="Q6" i="6" s="1"/>
  <c r="L5" i="6"/>
  <c r="Q5" i="6" s="1"/>
  <c r="L4" i="6"/>
  <c r="Q4" i="6" s="1"/>
  <c r="L3" i="6"/>
  <c r="Q3" i="6" s="1"/>
  <c r="R112" i="6"/>
  <c r="S112" i="6" s="1"/>
  <c r="J112" i="6"/>
  <c r="L112" i="6" s="1"/>
  <c r="Q112" i="6" s="1"/>
  <c r="R111" i="6"/>
  <c r="S111" i="6" s="1"/>
  <c r="J111" i="6"/>
  <c r="L111" i="6" s="1"/>
  <c r="Q111" i="6" s="1"/>
  <c r="R110" i="6"/>
  <c r="S110" i="6" s="1"/>
  <c r="J110" i="6"/>
  <c r="L110" i="6" s="1"/>
  <c r="Q110" i="6" s="1"/>
  <c r="R109" i="6"/>
  <c r="S109" i="6" s="1"/>
  <c r="J109" i="6"/>
  <c r="L109" i="6" s="1"/>
  <c r="Q109" i="6" s="1"/>
  <c r="R108" i="6"/>
  <c r="S108" i="6" s="1"/>
  <c r="J108" i="6"/>
  <c r="L108" i="6" s="1"/>
  <c r="Q108" i="6" s="1"/>
  <c r="R107" i="6"/>
  <c r="S107" i="6" s="1"/>
  <c r="J107" i="6"/>
  <c r="L107" i="6" s="1"/>
  <c r="Q107" i="6" s="1"/>
  <c r="R106" i="6"/>
  <c r="S106" i="6" s="1"/>
  <c r="J106" i="6"/>
  <c r="L106" i="6" s="1"/>
  <c r="Q106" i="6" s="1"/>
  <c r="R105" i="6"/>
  <c r="S105" i="6" s="1"/>
  <c r="J105" i="6"/>
  <c r="L105" i="6" s="1"/>
  <c r="R104" i="6"/>
  <c r="S104" i="6" s="1"/>
  <c r="J104" i="6"/>
  <c r="L104" i="6" s="1"/>
  <c r="Q104" i="6" s="1"/>
  <c r="R103" i="6"/>
  <c r="S103" i="6" s="1"/>
  <c r="J103" i="6"/>
  <c r="L103" i="6" s="1"/>
  <c r="Q103" i="6" s="1"/>
  <c r="R102" i="6"/>
  <c r="S102" i="6" s="1"/>
  <c r="J102" i="6"/>
  <c r="L102" i="6" s="1"/>
  <c r="Q102" i="6" s="1"/>
  <c r="R101" i="6"/>
  <c r="S101" i="6" s="1"/>
  <c r="J101" i="6"/>
  <c r="L101" i="6" s="1"/>
  <c r="Q101" i="6" s="1"/>
  <c r="R100" i="6"/>
  <c r="S100" i="6" s="1"/>
  <c r="J100" i="6"/>
  <c r="L100" i="6" s="1"/>
  <c r="Q100" i="6" s="1"/>
  <c r="R99" i="6"/>
  <c r="S99" i="6" s="1"/>
  <c r="J99" i="6"/>
  <c r="L99" i="6" s="1"/>
  <c r="Q99" i="6" s="1"/>
  <c r="R98" i="6"/>
  <c r="S98" i="6" s="1"/>
  <c r="J98" i="6"/>
  <c r="L98" i="6" s="1"/>
  <c r="Q98" i="6" s="1"/>
  <c r="R97" i="6"/>
  <c r="S97" i="6" s="1"/>
  <c r="N15" i="8" s="1"/>
  <c r="O15" i="8" s="1"/>
  <c r="J97" i="6"/>
  <c r="L97" i="6" s="1"/>
  <c r="R96" i="6"/>
  <c r="S96" i="6" s="1"/>
  <c r="J96" i="6"/>
  <c r="L96" i="6" s="1"/>
  <c r="Q96" i="6" s="1"/>
  <c r="R95" i="6"/>
  <c r="S95" i="6" s="1"/>
  <c r="J95" i="6"/>
  <c r="L95" i="6" s="1"/>
  <c r="Q95" i="6" s="1"/>
  <c r="R92" i="6"/>
  <c r="S92" i="6" s="1"/>
  <c r="J92" i="6"/>
  <c r="L92" i="6" s="1"/>
  <c r="Q92" i="6" s="1"/>
  <c r="R91" i="6"/>
  <c r="S91" i="6" s="1"/>
  <c r="J91" i="6"/>
  <c r="L91" i="6" s="1"/>
  <c r="Q91" i="6" s="1"/>
  <c r="R89" i="6"/>
  <c r="S89" i="6" s="1"/>
  <c r="J89" i="6"/>
  <c r="L89" i="6" s="1"/>
  <c r="Q89" i="6" s="1"/>
  <c r="R88" i="6"/>
  <c r="S88" i="6" s="1"/>
  <c r="J88" i="6"/>
  <c r="L88" i="6" s="1"/>
  <c r="Q88" i="6" s="1"/>
  <c r="J85" i="6"/>
  <c r="R85" i="6"/>
  <c r="S85" i="6" s="1"/>
  <c r="R83" i="6"/>
  <c r="S83" i="6" s="1"/>
  <c r="J83" i="6"/>
  <c r="L83" i="6" s="1"/>
  <c r="Q83" i="6" s="1"/>
  <c r="J80" i="6"/>
  <c r="R80" i="6"/>
  <c r="S80" i="6" s="1"/>
  <c r="R79" i="6"/>
  <c r="S79" i="6" s="1"/>
  <c r="J79" i="6"/>
  <c r="L79" i="6" s="1"/>
  <c r="Q79" i="6" s="1"/>
  <c r="R78" i="6"/>
  <c r="S78" i="6" s="1"/>
  <c r="N13" i="8" s="1"/>
  <c r="O13" i="8" s="1"/>
  <c r="J78" i="6"/>
  <c r="L78" i="6" s="1"/>
  <c r="Q78" i="6" s="1"/>
  <c r="R76" i="6"/>
  <c r="S76" i="6" s="1"/>
  <c r="J76" i="6"/>
  <c r="L76" i="6" s="1"/>
  <c r="Q76" i="6" s="1"/>
  <c r="R75" i="6"/>
  <c r="S75" i="6" s="1"/>
  <c r="J75" i="6"/>
  <c r="L75" i="6" s="1"/>
  <c r="Q75" i="6" s="1"/>
  <c r="N74" i="6"/>
  <c r="R74" i="6"/>
  <c r="S74" i="6" s="1"/>
  <c r="R73" i="6"/>
  <c r="S73" i="6" s="1"/>
  <c r="J73" i="6"/>
  <c r="L73" i="6" s="1"/>
  <c r="Q73" i="6" s="1"/>
  <c r="R72" i="6"/>
  <c r="S72" i="6" s="1"/>
  <c r="J72" i="6"/>
  <c r="L72" i="6" s="1"/>
  <c r="Q72" i="6" s="1"/>
  <c r="R71" i="6"/>
  <c r="S71" i="6" s="1"/>
  <c r="J71" i="6"/>
  <c r="L71" i="6" s="1"/>
  <c r="Q71" i="6" s="1"/>
  <c r="R70" i="6"/>
  <c r="S70" i="6" s="1"/>
  <c r="J70" i="6"/>
  <c r="L70" i="6" s="1"/>
  <c r="Q70" i="6" s="1"/>
  <c r="R69" i="6"/>
  <c r="S69" i="6" s="1"/>
  <c r="J69" i="6"/>
  <c r="L69" i="6" s="1"/>
  <c r="Q69" i="6" s="1"/>
  <c r="R68" i="6"/>
  <c r="S68" i="6" s="1"/>
  <c r="N12" i="8" s="1"/>
  <c r="O12" i="8" s="1"/>
  <c r="J68" i="6"/>
  <c r="L68" i="6" s="1"/>
  <c r="R67" i="6"/>
  <c r="S67" i="6" s="1"/>
  <c r="J67" i="6"/>
  <c r="L67" i="6" s="1"/>
  <c r="Q67" i="6" s="1"/>
  <c r="R66" i="6"/>
  <c r="S66" i="6" s="1"/>
  <c r="J66" i="6"/>
  <c r="L66" i="6" s="1"/>
  <c r="Q66" i="6" s="1"/>
  <c r="R65" i="6"/>
  <c r="S65" i="6" s="1"/>
  <c r="J65" i="6"/>
  <c r="L65" i="6" s="1"/>
  <c r="Q65" i="6" s="1"/>
  <c r="R64" i="6"/>
  <c r="S64" i="6" s="1"/>
  <c r="J64" i="6"/>
  <c r="L64" i="6" s="1"/>
  <c r="Q64" i="6" s="1"/>
  <c r="R63" i="6"/>
  <c r="S63" i="6" s="1"/>
  <c r="J63" i="6"/>
  <c r="L63" i="6" s="1"/>
  <c r="Q63" i="6" s="1"/>
  <c r="R62" i="6"/>
  <c r="S62" i="6" s="1"/>
  <c r="J62" i="6"/>
  <c r="L62" i="6" s="1"/>
  <c r="Q62" i="6" s="1"/>
  <c r="R61" i="6"/>
  <c r="S61" i="6" s="1"/>
  <c r="J61" i="6"/>
  <c r="L61" i="6" s="1"/>
  <c r="Q61" i="6" s="1"/>
  <c r="R60" i="6"/>
  <c r="S60" i="6" s="1"/>
  <c r="J60" i="6"/>
  <c r="L60" i="6" s="1"/>
  <c r="Q60" i="6" s="1"/>
  <c r="R59" i="6"/>
  <c r="S59" i="6" s="1"/>
  <c r="N11" i="8" s="1"/>
  <c r="O11" i="8" s="1"/>
  <c r="J59" i="6"/>
  <c r="L59" i="6" s="1"/>
  <c r="R58" i="6"/>
  <c r="S58" i="6" s="1"/>
  <c r="J58" i="6"/>
  <c r="L58" i="6" s="1"/>
  <c r="Q58" i="6" s="1"/>
  <c r="R57" i="6"/>
  <c r="S57" i="6" s="1"/>
  <c r="J57" i="6"/>
  <c r="L57" i="6" s="1"/>
  <c r="Q57" i="6" s="1"/>
  <c r="J56" i="6"/>
  <c r="L56" i="6" s="1"/>
  <c r="Q56" i="6" s="1"/>
  <c r="R56" i="6"/>
  <c r="S56" i="6" s="1"/>
  <c r="R55" i="6"/>
  <c r="S55" i="6" s="1"/>
  <c r="J55" i="6"/>
  <c r="L55" i="6" s="1"/>
  <c r="Q55" i="6" s="1"/>
  <c r="R54" i="6"/>
  <c r="S54" i="6" s="1"/>
  <c r="J54" i="6"/>
  <c r="L54" i="6" s="1"/>
  <c r="Q54" i="6" s="1"/>
  <c r="R53" i="6"/>
  <c r="S53" i="6" s="1"/>
  <c r="J53" i="6"/>
  <c r="L53" i="6" s="1"/>
  <c r="Q53" i="6" s="1"/>
  <c r="R52" i="6"/>
  <c r="S52" i="6" s="1"/>
  <c r="J52" i="6"/>
  <c r="L52" i="6" s="1"/>
  <c r="Q52" i="6" s="1"/>
  <c r="N51" i="6"/>
  <c r="R51" i="6"/>
  <c r="S51" i="6" s="1"/>
  <c r="R50" i="6"/>
  <c r="S50" i="6" s="1"/>
  <c r="N10" i="8" s="1"/>
  <c r="O10" i="8" s="1"/>
  <c r="J50" i="6"/>
  <c r="L50" i="6" s="1"/>
  <c r="R49" i="6"/>
  <c r="S49" i="6" s="1"/>
  <c r="J49" i="6"/>
  <c r="L49" i="6" s="1"/>
  <c r="Q49" i="6" s="1"/>
  <c r="R48" i="6"/>
  <c r="S48" i="6" s="1"/>
  <c r="J48" i="6"/>
  <c r="L48" i="6" s="1"/>
  <c r="Q48" i="6" s="1"/>
  <c r="R47" i="6"/>
  <c r="S47" i="6" s="1"/>
  <c r="J47" i="6"/>
  <c r="L47" i="6" s="1"/>
  <c r="Q47" i="6" s="1"/>
  <c r="R46" i="6"/>
  <c r="S46" i="6" s="1"/>
  <c r="J46" i="6"/>
  <c r="L46" i="6" s="1"/>
  <c r="Q46" i="6" s="1"/>
  <c r="R45" i="6"/>
  <c r="S45" i="6" s="1"/>
  <c r="J45" i="6"/>
  <c r="L45" i="6" s="1"/>
  <c r="Q45" i="6" s="1"/>
  <c r="R44" i="6"/>
  <c r="S44" i="6" s="1"/>
  <c r="J44" i="6"/>
  <c r="L44" i="6" s="1"/>
  <c r="Q44" i="6" s="1"/>
  <c r="R43" i="6"/>
  <c r="S43" i="6" s="1"/>
  <c r="J43" i="6"/>
  <c r="L43" i="6" s="1"/>
  <c r="Q43" i="6" s="1"/>
  <c r="R42" i="6"/>
  <c r="S42" i="6" s="1"/>
  <c r="N9" i="8" s="1"/>
  <c r="O9" i="8" s="1"/>
  <c r="J42" i="6"/>
  <c r="L42" i="6" s="1"/>
  <c r="Q42" i="6" s="1"/>
  <c r="R39" i="6"/>
  <c r="S39" i="6" s="1"/>
  <c r="J39" i="6"/>
  <c r="L39" i="6" s="1"/>
  <c r="Q39" i="6" s="1"/>
  <c r="R38" i="6"/>
  <c r="S38" i="6" s="1"/>
  <c r="J38" i="6"/>
  <c r="L38" i="6" s="1"/>
  <c r="Q38" i="6" s="1"/>
  <c r="R32" i="6"/>
  <c r="S32" i="6" s="1"/>
  <c r="J32" i="6"/>
  <c r="L32" i="6" s="1"/>
  <c r="Q32" i="6" s="1"/>
  <c r="R31" i="6"/>
  <c r="S31" i="6" s="1"/>
  <c r="N8" i="8" s="1"/>
  <c r="O8" i="8" s="1"/>
  <c r="J31" i="6"/>
  <c r="L31" i="6" s="1"/>
  <c r="Q31" i="6" s="1"/>
  <c r="R26" i="6"/>
  <c r="S26" i="6" s="1"/>
  <c r="J26" i="6"/>
  <c r="L26" i="6" s="1"/>
  <c r="Q26" i="6" s="1"/>
  <c r="R25" i="6"/>
  <c r="S25" i="6" s="1"/>
  <c r="N7" i="8" s="1"/>
  <c r="O7" i="8" s="1"/>
  <c r="J25" i="6"/>
  <c r="L25" i="6" s="1"/>
  <c r="Q25" i="6" s="1"/>
  <c r="R16" i="6"/>
  <c r="S16" i="6" s="1"/>
  <c r="J16" i="6"/>
  <c r="L16" i="6" s="1"/>
  <c r="Q16" i="6" s="1"/>
  <c r="R15" i="6"/>
  <c r="S15" i="6" s="1"/>
  <c r="J15" i="6"/>
  <c r="L15" i="6" s="1"/>
  <c r="Q15" i="6" s="1"/>
  <c r="R14" i="6"/>
  <c r="S14" i="6" s="1"/>
  <c r="J14" i="6"/>
  <c r="L14" i="6" s="1"/>
  <c r="Q14" i="6" s="1"/>
  <c r="R13" i="6"/>
  <c r="S13" i="6" s="1"/>
  <c r="J13" i="6"/>
  <c r="L13" i="6" s="1"/>
  <c r="Q13" i="6" s="1"/>
  <c r="R12" i="6"/>
  <c r="S12" i="6" s="1"/>
  <c r="J12" i="6"/>
  <c r="L12" i="6" s="1"/>
  <c r="Q12" i="6" s="1"/>
  <c r="B17" i="10"/>
  <c r="B19" i="10"/>
  <c r="C20" i="10"/>
  <c r="C19" i="10"/>
  <c r="C16" i="10"/>
  <c r="B16" i="10"/>
  <c r="C17" i="10"/>
  <c r="B15" i="10"/>
  <c r="B18" i="10"/>
  <c r="C15" i="10"/>
  <c r="B5" i="10"/>
  <c r="B20" i="10"/>
  <c r="C18" i="10"/>
  <c r="N2" i="6" l="1"/>
  <c r="B8" i="9"/>
  <c r="D10" i="9"/>
  <c r="D7" i="9"/>
  <c r="D12" i="9"/>
  <c r="B6" i="9"/>
  <c r="B7" i="9"/>
  <c r="D9" i="9"/>
  <c r="D11" i="9"/>
  <c r="B11" i="9"/>
  <c r="D5" i="9"/>
  <c r="D6" i="9"/>
  <c r="B9" i="9"/>
  <c r="B10" i="9"/>
  <c r="B12" i="9"/>
  <c r="D8" i="9"/>
  <c r="J13" i="9"/>
  <c r="J14" i="9"/>
  <c r="J11" i="9"/>
  <c r="J15" i="9"/>
  <c r="J10" i="9"/>
  <c r="J9" i="9"/>
  <c r="J8" i="9"/>
  <c r="J7" i="9"/>
  <c r="J6" i="9"/>
  <c r="J12" i="9"/>
  <c r="S2" i="6"/>
  <c r="E11" i="11"/>
  <c r="E12" i="11"/>
  <c r="E13" i="11"/>
  <c r="E14" i="11"/>
  <c r="D14" i="8"/>
  <c r="Q86" i="6"/>
  <c r="D13" i="8"/>
  <c r="Q77" i="6"/>
  <c r="D9" i="8"/>
  <c r="Q41" i="6"/>
  <c r="D8" i="8"/>
  <c r="Q30" i="6"/>
  <c r="D7" i="8"/>
  <c r="Q20" i="6"/>
  <c r="D6" i="8"/>
  <c r="Q11" i="6"/>
  <c r="D16" i="8"/>
  <c r="Q105" i="6"/>
  <c r="D15" i="8"/>
  <c r="Q97" i="6"/>
  <c r="D12" i="8"/>
  <c r="Q68" i="6"/>
  <c r="D11" i="8"/>
  <c r="Q59" i="6"/>
  <c r="D10" i="8"/>
  <c r="Q50" i="6"/>
  <c r="C21" i="10"/>
  <c r="B21" i="10"/>
  <c r="N16" i="8"/>
  <c r="O16" i="8" s="1"/>
  <c r="L2" i="6"/>
  <c r="N14" i="8"/>
  <c r="O14" i="8" s="1"/>
  <c r="N6" i="8"/>
  <c r="O6" i="8" s="1"/>
  <c r="E18" i="11"/>
  <c r="E19" i="11"/>
  <c r="E17" i="11"/>
  <c r="R158" i="7"/>
  <c r="N5" i="8" l="1"/>
  <c r="O5" i="8" s="1"/>
  <c r="E24" i="11"/>
  <c r="L14" i="8"/>
  <c r="F14" i="8"/>
  <c r="L13" i="8"/>
  <c r="F13" i="8"/>
  <c r="L9" i="8"/>
  <c r="F9" i="8"/>
  <c r="L8" i="8"/>
  <c r="F8" i="8"/>
  <c r="L7" i="8"/>
  <c r="F7" i="8"/>
  <c r="F6" i="8"/>
  <c r="L6" i="8"/>
  <c r="L16" i="8"/>
  <c r="F16" i="8"/>
  <c r="L15" i="8"/>
  <c r="F15" i="8"/>
  <c r="F12" i="8"/>
  <c r="L12" i="8"/>
  <c r="L11" i="8"/>
  <c r="F11" i="8"/>
  <c r="F10" i="8"/>
  <c r="L10" i="8"/>
  <c r="Q2" i="6"/>
  <c r="D5" i="8"/>
  <c r="D13" i="9"/>
  <c r="B11" i="10"/>
  <c r="E25" i="11"/>
  <c r="I14" i="8" l="1"/>
  <c r="J14" i="8" s="1"/>
  <c r="K14" i="8"/>
  <c r="O198" i="7"/>
  <c r="P198" i="7" s="1"/>
  <c r="O167" i="7"/>
  <c r="P167" i="7" s="1"/>
  <c r="O12" i="7"/>
  <c r="P12" i="7" s="1"/>
  <c r="O17" i="7"/>
  <c r="P17" i="7" s="1"/>
  <c r="O20" i="7"/>
  <c r="P20" i="7" s="1"/>
  <c r="O24" i="7"/>
  <c r="P24" i="7" s="1"/>
  <c r="O129" i="7"/>
  <c r="P129" i="7" s="1"/>
  <c r="O132" i="7"/>
  <c r="P132" i="7" s="1"/>
  <c r="O32" i="7"/>
  <c r="P32" i="7" s="1"/>
  <c r="O36" i="7"/>
  <c r="P36" i="7" s="1"/>
  <c r="O48" i="7"/>
  <c r="P48" i="7" s="1"/>
  <c r="O52" i="7"/>
  <c r="P52" i="7" s="1"/>
  <c r="O56" i="7"/>
  <c r="P56" i="7" s="1"/>
  <c r="O137" i="7"/>
  <c r="P137" i="7" s="1"/>
  <c r="O171" i="7"/>
  <c r="P171" i="7" s="1"/>
  <c r="O70" i="7"/>
  <c r="P70" i="7" s="1"/>
  <c r="O83" i="7"/>
  <c r="P83" i="7" s="1"/>
  <c r="O181" i="7"/>
  <c r="P181" i="7" s="1"/>
  <c r="O89" i="7"/>
  <c r="P89" i="7" s="1"/>
  <c r="O95" i="7"/>
  <c r="P95" i="7" s="1"/>
  <c r="O97" i="7"/>
  <c r="P97" i="7" s="1"/>
  <c r="O98" i="7"/>
  <c r="P98" i="7" s="1"/>
  <c r="O117" i="7"/>
  <c r="P117" i="7" s="1"/>
  <c r="O149" i="7"/>
  <c r="P149" i="7" s="1"/>
  <c r="O212" i="7"/>
  <c r="P212" i="7" s="1"/>
  <c r="O215" i="7"/>
  <c r="P215" i="7" s="1"/>
  <c r="O239" i="7"/>
  <c r="P239" i="7" s="1"/>
  <c r="O240" i="7"/>
  <c r="P240" i="7" s="1"/>
  <c r="K13" i="8"/>
  <c r="I13" i="8"/>
  <c r="J13" i="8" s="1"/>
  <c r="O139" i="7"/>
  <c r="P139" i="7" s="1"/>
  <c r="O187" i="7"/>
  <c r="P187" i="7" s="1"/>
  <c r="O133" i="7"/>
  <c r="P133" i="7" s="1"/>
  <c r="O180" i="7"/>
  <c r="P180" i="7" s="1"/>
  <c r="O4" i="7"/>
  <c r="P4" i="7" s="1"/>
  <c r="O7" i="7"/>
  <c r="P7" i="7" s="1"/>
  <c r="O16" i="7"/>
  <c r="P16" i="7" s="1"/>
  <c r="O135" i="7"/>
  <c r="P135" i="7" s="1"/>
  <c r="O141" i="7"/>
  <c r="P141" i="7" s="1"/>
  <c r="O29" i="7"/>
  <c r="P29" i="7" s="1"/>
  <c r="O34" i="7"/>
  <c r="P34" i="7" s="1"/>
  <c r="O38" i="7"/>
  <c r="P38" i="7" s="1"/>
  <c r="O39" i="7"/>
  <c r="P39" i="7" s="1"/>
  <c r="O55" i="7"/>
  <c r="P55" i="7" s="1"/>
  <c r="O57" i="7"/>
  <c r="P57" i="7" s="1"/>
  <c r="O154" i="7"/>
  <c r="P154" i="7" s="1"/>
  <c r="O67" i="7"/>
  <c r="P67" i="7" s="1"/>
  <c r="O77" i="7"/>
  <c r="P77" i="7" s="1"/>
  <c r="O118" i="7"/>
  <c r="P118" i="7" s="1"/>
  <c r="O136" i="7"/>
  <c r="P136" i="7" s="1"/>
  <c r="O190" i="7"/>
  <c r="P190" i="7" s="1"/>
  <c r="O112" i="7"/>
  <c r="P112" i="7" s="1"/>
  <c r="O241" i="7"/>
  <c r="P241" i="7" s="1"/>
  <c r="O127" i="7"/>
  <c r="P127" i="7" s="1"/>
  <c r="O206" i="7"/>
  <c r="P206" i="7" s="1"/>
  <c r="O211" i="7"/>
  <c r="P211" i="7" s="1"/>
  <c r="O234" i="7"/>
  <c r="P234" i="7" s="1"/>
  <c r="O253" i="7"/>
  <c r="P253" i="7" s="1"/>
  <c r="I9" i="8"/>
  <c r="J9" i="8" s="1"/>
  <c r="K9" i="8"/>
  <c r="O179" i="7"/>
  <c r="P179" i="7" s="1"/>
  <c r="O196" i="7"/>
  <c r="P196" i="7" s="1"/>
  <c r="O15" i="7"/>
  <c r="P15" i="7" s="1"/>
  <c r="O19" i="7"/>
  <c r="P19" i="7" s="1"/>
  <c r="O123" i="7"/>
  <c r="P123" i="7" s="1"/>
  <c r="O201" i="7"/>
  <c r="P201" i="7" s="1"/>
  <c r="O44" i="7"/>
  <c r="P44" i="7" s="1"/>
  <c r="O51" i="7"/>
  <c r="P51" i="7" s="1"/>
  <c r="O79" i="7"/>
  <c r="P79" i="7" s="1"/>
  <c r="O128" i="7"/>
  <c r="P128" i="7" s="1"/>
  <c r="O93" i="7"/>
  <c r="P93" i="7" s="1"/>
  <c r="O100" i="7"/>
  <c r="P100" i="7" s="1"/>
  <c r="O108" i="7"/>
  <c r="P108" i="7" s="1"/>
  <c r="O227" i="7"/>
  <c r="P227" i="7" s="1"/>
  <c r="O237" i="7"/>
  <c r="P237" i="7" s="1"/>
  <c r="O245" i="7"/>
  <c r="P245" i="7" s="1"/>
  <c r="O250" i="7"/>
  <c r="P250" i="7" s="1"/>
  <c r="K8" i="8"/>
  <c r="I8" i="8"/>
  <c r="J8" i="8" s="1"/>
  <c r="O142" i="7"/>
  <c r="P142" i="7" s="1"/>
  <c r="O143" i="7"/>
  <c r="P143" i="7" s="1"/>
  <c r="O11" i="7"/>
  <c r="P11" i="7" s="1"/>
  <c r="O14" i="7"/>
  <c r="P14" i="7" s="1"/>
  <c r="O25" i="7"/>
  <c r="P25" i="7" s="1"/>
  <c r="O126" i="7"/>
  <c r="P126" i="7" s="1"/>
  <c r="O138" i="7"/>
  <c r="P138" i="7" s="1"/>
  <c r="O31" i="7"/>
  <c r="P31" i="7" s="1"/>
  <c r="O41" i="7"/>
  <c r="P41" i="7" s="1"/>
  <c r="O42" i="7"/>
  <c r="P42" i="7" s="1"/>
  <c r="O43" i="7"/>
  <c r="P43" i="7" s="1"/>
  <c r="O50" i="7"/>
  <c r="P50" i="7" s="1"/>
  <c r="O54" i="7"/>
  <c r="P54" i="7" s="1"/>
  <c r="O140" i="7"/>
  <c r="P140" i="7" s="1"/>
  <c r="O60" i="7"/>
  <c r="P60" i="7" s="1"/>
  <c r="O66" i="7"/>
  <c r="P66" i="7" s="1"/>
  <c r="O207" i="7"/>
  <c r="P207" i="7" s="1"/>
  <c r="O218" i="7"/>
  <c r="P218" i="7" s="1"/>
  <c r="O220" i="7"/>
  <c r="P220" i="7" s="1"/>
  <c r="K7" i="8"/>
  <c r="I7" i="8"/>
  <c r="J7" i="8" s="1"/>
  <c r="O203" i="7"/>
  <c r="P203" i="7" s="1"/>
  <c r="O157" i="7"/>
  <c r="P157" i="7" s="1"/>
  <c r="O202" i="7"/>
  <c r="P202" i="7" s="1"/>
  <c r="O5" i="7"/>
  <c r="P5" i="7" s="1"/>
  <c r="O8" i="7"/>
  <c r="P8" i="7" s="1"/>
  <c r="O30" i="7"/>
  <c r="P30" i="7" s="1"/>
  <c r="O46" i="7"/>
  <c r="P46" i="7" s="1"/>
  <c r="O47" i="7"/>
  <c r="P47" i="7" s="1"/>
  <c r="O53" i="7"/>
  <c r="P53" i="7" s="1"/>
  <c r="O161" i="7"/>
  <c r="P161" i="7" s="1"/>
  <c r="O78" i="7"/>
  <c r="P78" i="7" s="1"/>
  <c r="O122" i="7"/>
  <c r="P122" i="7" s="1"/>
  <c r="O131" i="7"/>
  <c r="P131" i="7" s="1"/>
  <c r="O188" i="7"/>
  <c r="P188" i="7" s="1"/>
  <c r="O91" i="7"/>
  <c r="P91" i="7" s="1"/>
  <c r="O94" i="7"/>
  <c r="P94" i="7" s="1"/>
  <c r="O110" i="7"/>
  <c r="P110" i="7" s="1"/>
  <c r="O197" i="7"/>
  <c r="P197" i="7" s="1"/>
  <c r="O208" i="7"/>
  <c r="P208" i="7" s="1"/>
  <c r="O214" i="7"/>
  <c r="P214" i="7" s="1"/>
  <c r="O224" i="7"/>
  <c r="P224" i="7" s="1"/>
  <c r="O225" i="7"/>
  <c r="P225" i="7" s="1"/>
  <c r="O254" i="7"/>
  <c r="P254" i="7" s="1"/>
  <c r="O256" i="7"/>
  <c r="P256" i="7" s="1"/>
  <c r="O257" i="7"/>
  <c r="P257" i="7" s="1"/>
  <c r="O258" i="7"/>
  <c r="P258" i="7" s="1"/>
  <c r="O259" i="7"/>
  <c r="P259" i="7" s="1"/>
  <c r="I6" i="8"/>
  <c r="J6" i="8" s="1"/>
  <c r="K6" i="8"/>
  <c r="O158" i="7"/>
  <c r="P158" i="7" s="1"/>
  <c r="O193" i="7"/>
  <c r="P193" i="7" s="1"/>
  <c r="O152" i="7"/>
  <c r="P152" i="7" s="1"/>
  <c r="O175" i="7"/>
  <c r="P175" i="7" s="1"/>
  <c r="O160" i="7"/>
  <c r="P160" i="7" s="1"/>
  <c r="O2" i="7"/>
  <c r="P2" i="7" s="1"/>
  <c r="O3" i="7"/>
  <c r="P3" i="7" s="1"/>
  <c r="O33" i="7"/>
  <c r="P33" i="7" s="1"/>
  <c r="O35" i="7"/>
  <c r="P35" i="7" s="1"/>
  <c r="O58" i="7"/>
  <c r="P58" i="7" s="1"/>
  <c r="O68" i="7"/>
  <c r="P68" i="7" s="1"/>
  <c r="O73" i="7"/>
  <c r="P73" i="7" s="1"/>
  <c r="O144" i="7"/>
  <c r="P144" i="7" s="1"/>
  <c r="O101" i="7"/>
  <c r="P101" i="7" s="1"/>
  <c r="O105" i="7"/>
  <c r="P105" i="7" s="1"/>
  <c r="O115" i="7"/>
  <c r="P115" i="7" s="1"/>
  <c r="O178" i="7"/>
  <c r="P178" i="7" s="1"/>
  <c r="O194" i="7"/>
  <c r="P194" i="7" s="1"/>
  <c r="O244" i="7"/>
  <c r="P244" i="7" s="1"/>
  <c r="I16" i="8"/>
  <c r="J16" i="8" s="1"/>
  <c r="K16" i="8"/>
  <c r="O121" i="7"/>
  <c r="P121" i="7" s="1"/>
  <c r="O162" i="7"/>
  <c r="P162" i="7" s="1"/>
  <c r="O191" i="7"/>
  <c r="P191" i="7" s="1"/>
  <c r="O183" i="7"/>
  <c r="P183" i="7" s="1"/>
  <c r="O166" i="7"/>
  <c r="P166" i="7" s="1"/>
  <c r="O69" i="7"/>
  <c r="P69" i="7" s="1"/>
  <c r="O72" i="7"/>
  <c r="P72" i="7" s="1"/>
  <c r="O173" i="7"/>
  <c r="P173" i="7" s="1"/>
  <c r="O88" i="7"/>
  <c r="P88" i="7" s="1"/>
  <c r="O148" i="7"/>
  <c r="P148" i="7" s="1"/>
  <c r="O213" i="7"/>
  <c r="P213" i="7" s="1"/>
  <c r="O226" i="7"/>
  <c r="P226" i="7" s="1"/>
  <c r="O260" i="7"/>
  <c r="P260" i="7" s="1"/>
  <c r="O176" i="7"/>
  <c r="P176" i="7" s="1"/>
  <c r="O170" i="7"/>
  <c r="P170" i="7" s="1"/>
  <c r="O172" i="7"/>
  <c r="P172" i="7" s="1"/>
  <c r="O21" i="7"/>
  <c r="P21" i="7" s="1"/>
  <c r="O22" i="7"/>
  <c r="P22" i="7" s="1"/>
  <c r="O23" i="7"/>
  <c r="P23" i="7" s="1"/>
  <c r="O120" i="7"/>
  <c r="P120" i="7" s="1"/>
  <c r="O156" i="7"/>
  <c r="P156" i="7" s="1"/>
  <c r="O27" i="7"/>
  <c r="P27" i="7" s="1"/>
  <c r="O28" i="7"/>
  <c r="P28" i="7" s="1"/>
  <c r="O37" i="7"/>
  <c r="P37" i="7" s="1"/>
  <c r="O45" i="7"/>
  <c r="P45" i="7" s="1"/>
  <c r="O119" i="7"/>
  <c r="P119" i="7" s="1"/>
  <c r="O182" i="7"/>
  <c r="P182" i="7" s="1"/>
  <c r="O61" i="7"/>
  <c r="P61" i="7" s="1"/>
  <c r="O81" i="7"/>
  <c r="P81" i="7" s="1"/>
  <c r="O84" i="7"/>
  <c r="P84" i="7" s="1"/>
  <c r="O103" i="7"/>
  <c r="P103" i="7" s="1"/>
  <c r="O109" i="7"/>
  <c r="P109" i="7" s="1"/>
  <c r="O159" i="7"/>
  <c r="P159" i="7" s="1"/>
  <c r="O223" i="7"/>
  <c r="P223" i="7" s="1"/>
  <c r="O229" i="7"/>
  <c r="P229" i="7" s="1"/>
  <c r="O242" i="7"/>
  <c r="P242" i="7" s="1"/>
  <c r="O243" i="7"/>
  <c r="P243" i="7" s="1"/>
  <c r="O261" i="7"/>
  <c r="P261" i="7" s="1"/>
  <c r="K15" i="8"/>
  <c r="I15" i="8"/>
  <c r="J15" i="8" s="1"/>
  <c r="I12" i="8"/>
  <c r="J12" i="8" s="1"/>
  <c r="K12" i="8"/>
  <c r="O184" i="7"/>
  <c r="P184" i="7" s="1"/>
  <c r="O200" i="7"/>
  <c r="P200" i="7" s="1"/>
  <c r="O130" i="7"/>
  <c r="P130" i="7" s="1"/>
  <c r="O153" i="7"/>
  <c r="P153" i="7" s="1"/>
  <c r="O163" i="7"/>
  <c r="P163" i="7" s="1"/>
  <c r="O6" i="7"/>
  <c r="P6" i="7" s="1"/>
  <c r="O185" i="7"/>
  <c r="P185" i="7" s="1"/>
  <c r="O164" i="7"/>
  <c r="P164" i="7" s="1"/>
  <c r="O174" i="7"/>
  <c r="P174" i="7" s="1"/>
  <c r="O71" i="7"/>
  <c r="P71" i="7" s="1"/>
  <c r="O74" i="7"/>
  <c r="P74" i="7" s="1"/>
  <c r="O76" i="7"/>
  <c r="P76" i="7" s="1"/>
  <c r="O86" i="7"/>
  <c r="P86" i="7" s="1"/>
  <c r="O87" i="7"/>
  <c r="P87" i="7" s="1"/>
  <c r="O125" i="7"/>
  <c r="P125" i="7" s="1"/>
  <c r="O92" i="7"/>
  <c r="P92" i="7" s="1"/>
  <c r="O102" i="7"/>
  <c r="P102" i="7" s="1"/>
  <c r="O104" i="7"/>
  <c r="P104" i="7" s="1"/>
  <c r="O116" i="7"/>
  <c r="P116" i="7" s="1"/>
  <c r="O209" i="7"/>
  <c r="P209" i="7" s="1"/>
  <c r="O219" i="7"/>
  <c r="P219" i="7" s="1"/>
  <c r="O222" i="7"/>
  <c r="P222" i="7" s="1"/>
  <c r="O231" i="7"/>
  <c r="P231" i="7" s="1"/>
  <c r="O232" i="7"/>
  <c r="P232" i="7" s="1"/>
  <c r="O236" i="7"/>
  <c r="P236" i="7" s="1"/>
  <c r="O247" i="7"/>
  <c r="P247" i="7" s="1"/>
  <c r="I11" i="8"/>
  <c r="J11" i="8" s="1"/>
  <c r="K11" i="8"/>
  <c r="O146" i="7"/>
  <c r="P146" i="7" s="1"/>
  <c r="O165" i="7"/>
  <c r="P165" i="7" s="1"/>
  <c r="O195" i="7"/>
  <c r="P195" i="7" s="1"/>
  <c r="O134" i="7"/>
  <c r="P134" i="7" s="1"/>
  <c r="O189" i="7"/>
  <c r="P189" i="7" s="1"/>
  <c r="O10" i="7"/>
  <c r="P10" i="7" s="1"/>
  <c r="O26" i="7"/>
  <c r="P26" i="7" s="1"/>
  <c r="O147" i="7"/>
  <c r="P147" i="7" s="1"/>
  <c r="O169" i="7"/>
  <c r="P169" i="7" s="1"/>
  <c r="O204" i="7"/>
  <c r="P204" i="7" s="1"/>
  <c r="O49" i="7"/>
  <c r="P49" i="7" s="1"/>
  <c r="O124" i="7"/>
  <c r="P124" i="7" s="1"/>
  <c r="O62" i="7"/>
  <c r="P62" i="7" s="1"/>
  <c r="O82" i="7"/>
  <c r="P82" i="7" s="1"/>
  <c r="O96" i="7"/>
  <c r="P96" i="7" s="1"/>
  <c r="O205" i="7"/>
  <c r="P205" i="7" s="1"/>
  <c r="O217" i="7"/>
  <c r="P217" i="7" s="1"/>
  <c r="O228" i="7"/>
  <c r="P228" i="7" s="1"/>
  <c r="O238" i="7"/>
  <c r="P238" i="7" s="1"/>
  <c r="O251" i="7"/>
  <c r="P251" i="7" s="1"/>
  <c r="I10" i="8"/>
  <c r="J10" i="8" s="1"/>
  <c r="K10" i="8"/>
  <c r="O150" i="7"/>
  <c r="P150" i="7" s="1"/>
  <c r="O186" i="7"/>
  <c r="P186" i="7" s="1"/>
  <c r="O192" i="7"/>
  <c r="P192" i="7" s="1"/>
  <c r="O13" i="7"/>
  <c r="P13" i="7" s="1"/>
  <c r="O40" i="7"/>
  <c r="P40" i="7" s="1"/>
  <c r="O168" i="7"/>
  <c r="P168" i="7" s="1"/>
  <c r="O65" i="7"/>
  <c r="P65" i="7" s="1"/>
  <c r="O85" i="7"/>
  <c r="P85" i="7" s="1"/>
  <c r="O107" i="7"/>
  <c r="P107" i="7" s="1"/>
  <c r="O111" i="7"/>
  <c r="P111" i="7" s="1"/>
  <c r="O113" i="7"/>
  <c r="P113" i="7" s="1"/>
  <c r="O114" i="7"/>
  <c r="P114" i="7" s="1"/>
  <c r="O145" i="7"/>
  <c r="P145" i="7" s="1"/>
  <c r="O210" i="7"/>
  <c r="P210" i="7" s="1"/>
  <c r="O216" i="7"/>
  <c r="P216" i="7" s="1"/>
  <c r="O221" i="7"/>
  <c r="P221" i="7" s="1"/>
  <c r="O233" i="7"/>
  <c r="P233" i="7" s="1"/>
  <c r="J5" i="9"/>
  <c r="B5" i="9"/>
  <c r="B13" i="9" s="1"/>
  <c r="B14" i="9"/>
  <c r="B15" i="9" s="1"/>
  <c r="L5" i="8"/>
  <c r="F5" i="8"/>
  <c r="D15" i="10" l="1"/>
  <c r="B6" i="10"/>
  <c r="B7" i="10" s="1"/>
  <c r="B8" i="10" s="1"/>
  <c r="C6" i="9"/>
  <c r="K9" i="9"/>
  <c r="K8" i="9"/>
  <c r="C11" i="9"/>
  <c r="J16" i="9"/>
  <c r="K15" i="9"/>
  <c r="K14" i="9"/>
  <c r="C12" i="9"/>
  <c r="K11" i="9"/>
  <c r="K10" i="9"/>
  <c r="C10" i="9"/>
  <c r="C9" i="9"/>
  <c r="K13" i="9"/>
  <c r="K12" i="9"/>
  <c r="K7" i="9"/>
  <c r="C7" i="9"/>
  <c r="C8" i="9"/>
  <c r="K6" i="9"/>
  <c r="K5" i="9"/>
  <c r="C5" i="9"/>
  <c r="K5" i="8"/>
  <c r="I5" i="8"/>
  <c r="J5" i="8" s="1"/>
  <c r="O155" i="7"/>
  <c r="P155" i="7" s="1"/>
  <c r="O151" i="7"/>
  <c r="P151" i="7" s="1"/>
  <c r="O199" i="7"/>
  <c r="P199" i="7" s="1"/>
  <c r="O9" i="7"/>
  <c r="P9" i="7" s="1"/>
  <c r="O18" i="7"/>
  <c r="P18" i="7" s="1"/>
  <c r="O177" i="7"/>
  <c r="P177" i="7" s="1"/>
  <c r="O59" i="7"/>
  <c r="P59" i="7" s="1"/>
  <c r="O63" i="7"/>
  <c r="P63" i="7" s="1"/>
  <c r="O64" i="7"/>
  <c r="P64" i="7" s="1"/>
  <c r="O75" i="7"/>
  <c r="P75" i="7" s="1"/>
  <c r="O80" i="7"/>
  <c r="P80" i="7" s="1"/>
  <c r="O90" i="7"/>
  <c r="P90" i="7" s="1"/>
  <c r="O99" i="7"/>
  <c r="P99" i="7" s="1"/>
  <c r="O106" i="7"/>
  <c r="P106" i="7" s="1"/>
  <c r="O230" i="7"/>
  <c r="P230" i="7" s="1"/>
  <c r="O246" i="7"/>
  <c r="P246" i="7" s="1"/>
  <c r="O248" i="7"/>
  <c r="P248" i="7" s="1"/>
  <c r="O249" i="7"/>
  <c r="P249" i="7" s="1"/>
  <c r="O252" i="7"/>
  <c r="P252" i="7" s="1"/>
  <c r="O255" i="7"/>
  <c r="P255" i="7" s="1"/>
  <c r="D19" i="10"/>
  <c r="E19" i="10" s="1"/>
  <c r="F19" i="10" s="1"/>
  <c r="D16" i="10"/>
  <c r="E16" i="10" s="1"/>
  <c r="F16" i="10" s="1"/>
  <c r="D17" i="10"/>
  <c r="E17" i="10" s="1"/>
  <c r="F17" i="10" s="1"/>
  <c r="D20" i="10"/>
  <c r="E20" i="10" s="1"/>
  <c r="F20" i="10" s="1"/>
  <c r="D18" i="10"/>
  <c r="E18" i="10" s="1"/>
  <c r="F18" i="10" s="1"/>
  <c r="E15" i="10" l="1"/>
  <c r="D21" i="10"/>
  <c r="C13" i="9"/>
  <c r="J17" i="9"/>
  <c r="K16" i="9"/>
  <c r="K17" i="9" s="1"/>
  <c r="F15" i="10" l="1"/>
  <c r="E21" i="10"/>
  <c r="F21" i="10" s="1"/>
</calcChain>
</file>

<file path=xl/sharedStrings.xml><?xml version="1.0" encoding="utf-8"?>
<sst xmlns="http://schemas.openxmlformats.org/spreadsheetml/2006/main" count="2285" uniqueCount="696">
  <si>
    <t>Precast Cost and Sourcing Analysis</t>
  </si>
  <si>
    <t>Learning project with synthetic data for a fictional precast concrete manufacturer, Northfield Precast Ltd. No real company data is used.</t>
  </si>
  <si>
    <t>Purpose</t>
  </si>
  <si>
    <t>Connect products, bills of materials, suppliers and sales to answer: what does each product cost to make, where does the material come from, and which data needs fixing?</t>
  </si>
  <si>
    <t>Sheet</t>
  </si>
  <si>
    <t>What it contains</t>
  </si>
  <si>
    <t>Assumptions</t>
  </si>
  <si>
    <t>Exchange rates, unit conversions, thresholds and key assumptions (inputs).</t>
  </si>
  <si>
    <t>Items</t>
  </si>
  <si>
    <t>Finished products: list price, conversion cost, HS code. Raw data + checks.</t>
  </si>
  <si>
    <t>Suppliers</t>
  </si>
  <si>
    <t>Supplier list with country and lead time.</t>
  </si>
  <si>
    <t>Components</t>
  </si>
  <si>
    <t>Purchased materials and parts with cost, supplier and origin. Raw data + checks.</t>
  </si>
  <si>
    <t>BOM</t>
  </si>
  <si>
    <t>Bill of materials lines. Looks up cost and origin, converts units, flags issues.</t>
  </si>
  <si>
    <t>Sales</t>
  </si>
  <si>
    <t>2025 invoice lines. Adds category, revenue, discount and cost of sales.</t>
  </si>
  <si>
    <t>Cost_Rollup</t>
  </si>
  <si>
    <t>Unit cost per product vs. average selling price: margin and cost-to-price ratio.</t>
  </si>
  <si>
    <t>Sourcing</t>
  </si>
  <si>
    <t>2025 material spend by origin country and by supplier, with reconciliation checks.</t>
  </si>
  <si>
    <t>Summary</t>
  </si>
  <si>
    <t>Revenue, cost of sales and margin by category and ship-to country.</t>
  </si>
  <si>
    <t>Data_Quality</t>
  </si>
  <si>
    <t>Count of every flagged issue, with severity and a suggested action.</t>
  </si>
  <si>
    <t>Open_Questions</t>
  </si>
  <si>
    <t>Log of questions to resolve with other teams.</t>
  </si>
  <si>
    <t>Colour guide</t>
  </si>
  <si>
    <t>Blue text</t>
  </si>
  <si>
    <t>Hardcoded input (raw data or an assumption).</t>
  </si>
  <si>
    <t>Black text</t>
  </si>
  <si>
    <t>Formula.</t>
  </si>
  <si>
    <t>Green text</t>
  </si>
  <si>
    <t>Direct link to another sheet.</t>
  </si>
  <si>
    <t>Yellow fill</t>
  </si>
  <si>
    <t>Key assumption you can change on the Assumptions sheet.</t>
  </si>
  <si>
    <t>Dark blue header</t>
  </si>
  <si>
    <t>Raw data column (as received).</t>
  </si>
  <si>
    <t>Grey-blue header</t>
  </si>
  <si>
    <t>Calculated column added in this workbook.</t>
  </si>
  <si>
    <t>Red / green fill</t>
  </si>
  <si>
    <t>Status CHECK (needs review) / OK.</t>
  </si>
  <si>
    <t>Rebuild</t>
  </si>
  <si>
    <t>python scripts/generate_data.py  then  python scripts/build_workbook.py</t>
  </si>
  <si>
    <t>Assumptions and Settings</t>
  </si>
  <si>
    <t>Yellow cells are inputs. Change them here and every sheet updates.</t>
  </si>
  <si>
    <t>Exchange rates to CAD</t>
  </si>
  <si>
    <t>Currency</t>
  </si>
  <si>
    <t>Rate to CAD</t>
  </si>
  <si>
    <t>Note</t>
  </si>
  <si>
    <t>CAD</t>
  </si>
  <si>
    <t>Base currency</t>
  </si>
  <si>
    <t>USD</t>
  </si>
  <si>
    <t>Assumed average 2025 rate (illustrative)</t>
  </si>
  <si>
    <t>EUR</t>
  </si>
  <si>
    <t>Unit conversions</t>
  </si>
  <si>
    <t>Key (formula)</t>
  </si>
  <si>
    <t>From unit</t>
  </si>
  <si>
    <t>To unit</t>
  </si>
  <si>
    <t>Factor</t>
  </si>
  <si>
    <t>LB</t>
  </si>
  <si>
    <t>KG</t>
  </si>
  <si>
    <t>1 lb = 0.45359237 kg</t>
  </si>
  <si>
    <t>G</t>
  </si>
  <si>
    <t>1 g = 0.001 kg</t>
  </si>
  <si>
    <t>T</t>
  </si>
  <si>
    <t>1 kg = 0.001 tonne</t>
  </si>
  <si>
    <t>Thresholds and settings</t>
  </si>
  <si>
    <t>Home country code</t>
  </si>
  <si>
    <t>CA</t>
  </si>
  <si>
    <t>Used to split material cost into Domestic / Imported</t>
  </si>
  <si>
    <t>Sales discount flag (vs list price)</t>
  </si>
  <si>
    <t>Sales lines priced lower than this are flagged</t>
  </si>
  <si>
    <t>Long lead time flag (days)</t>
  </si>
  <si>
    <t>Suppliers above this lead time are flagged</t>
  </si>
  <si>
    <t>Key assumptions</t>
  </si>
  <si>
    <t>A1.</t>
  </si>
  <si>
    <t>All data in this workbook is synthetic (invented) and is used for learning only.</t>
  </si>
  <si>
    <t>A2.</t>
  </si>
  <si>
    <t>Unit costs are latest purchase prices, converted to CAD with the rates above.</t>
  </si>
  <si>
    <t>A3.</t>
  </si>
  <si>
    <t>Conversion cost (labour + plant overhead) per item is an estimate held on the Items sheet.</t>
  </si>
  <si>
    <t>A4.</t>
  </si>
  <si>
    <t>Concrete quantities use one simplified mix design per cubic metre for all products.</t>
  </si>
  <si>
    <t>A5.</t>
  </si>
  <si>
    <t>If a component code appears twice, lookups use the FIRST row. Duplicates are flagged on Components.</t>
  </si>
  <si>
    <t>A6.</t>
  </si>
  <si>
    <t>BOM lines with a missing cost are left out of material cost and flagged as 'Incomplete'.</t>
  </si>
  <si>
    <t>A7.</t>
  </si>
  <si>
    <t>HS codes are illustrative and must be confirmed before any real use.</t>
  </si>
  <si>
    <t>A8.</t>
  </si>
  <si>
    <t>Average selling price uses only 2025 invoice lines that have a price.</t>
  </si>
  <si>
    <t>item_no</t>
  </si>
  <si>
    <t>description</t>
  </si>
  <si>
    <t>category</t>
  </si>
  <si>
    <t>uom</t>
  </si>
  <si>
    <t>hs_code</t>
  </si>
  <si>
    <t>list_price_cad</t>
  </si>
  <si>
    <t>conversion_cost_cad</t>
  </si>
  <si>
    <t>item_key</t>
  </si>
  <si>
    <t>issues</t>
  </si>
  <si>
    <t>status</t>
  </si>
  <si>
    <t>PC-RCP-0600</t>
  </si>
  <si>
    <t>Reinforced concrete pipe 600 mm x 2.44 m</t>
  </si>
  <si>
    <t>Pipe</t>
  </si>
  <si>
    <t>EA</t>
  </si>
  <si>
    <t>6810.91</t>
  </si>
  <si>
    <t>PC-RCP-0900</t>
  </si>
  <si>
    <t>Reinforced concrete pipe 900 mm x 2.44 m</t>
  </si>
  <si>
    <t>PC-RCP-1200</t>
  </si>
  <si>
    <t>Reinforced concrete pipe 1200 mm x 2.44 m</t>
  </si>
  <si>
    <t>PC-BOX-1812</t>
  </si>
  <si>
    <t>Box culvert section 1.8 m x 1.2 m x 1.8 m</t>
  </si>
  <si>
    <t>Box Culvert</t>
  </si>
  <si>
    <t>PC-MH-1050B</t>
  </si>
  <si>
    <t>Manhole base 1050 mm</t>
  </si>
  <si>
    <t>Manhole</t>
  </si>
  <si>
    <t>PC-MH-1200B</t>
  </si>
  <si>
    <t>Manhole base 1200 mm</t>
  </si>
  <si>
    <t>PC-MH-1200R</t>
  </si>
  <si>
    <t>Manhole riser 1200 mm x 600 mm</t>
  </si>
  <si>
    <t>PC-CB-0600</t>
  </si>
  <si>
    <t>Catch basin 600 mm x 600 mm</t>
  </si>
  <si>
    <t>Catch Basin</t>
  </si>
  <si>
    <t>PC-BAR-F38</t>
  </si>
  <si>
    <t>F-shape traffic barrier 3.8 m</t>
  </si>
  <si>
    <t>Barrier</t>
  </si>
  <si>
    <t>6810.99</t>
  </si>
  <si>
    <t>PC-BAR-SS60</t>
  </si>
  <si>
    <t>Single-slope traffic barrier 6.0 m</t>
  </si>
  <si>
    <t>PC-HC-200</t>
  </si>
  <si>
    <t>Hollow-core slab 200 mm (per m2)</t>
  </si>
  <si>
    <t>Slab</t>
  </si>
  <si>
    <t>M2</t>
  </si>
  <si>
    <t>PC-HC-250</t>
  </si>
  <si>
    <t>Hollow-core slab 250 mm (per m2)</t>
  </si>
  <si>
    <t>supplier_id</t>
  </si>
  <si>
    <t>supplier_name</t>
  </si>
  <si>
    <t>country</t>
  </si>
  <si>
    <t>currency</t>
  </si>
  <si>
    <t>lead_time_days</t>
  </si>
  <si>
    <t>lead_time_flag</t>
  </si>
  <si>
    <t>SUP-01</t>
  </si>
  <si>
    <t>Prairie Cement Co.</t>
  </si>
  <si>
    <t>SUP-02</t>
  </si>
  <si>
    <t>Great Plains Ash Inc.</t>
  </si>
  <si>
    <t>US</t>
  </si>
  <si>
    <t>SUP-03</t>
  </si>
  <si>
    <t>Red Valley Aggregates</t>
  </si>
  <si>
    <t>SUP-04</t>
  </si>
  <si>
    <t>Midwest Admix Solutions</t>
  </si>
  <si>
    <t>SUP-05</t>
  </si>
  <si>
    <t>Northern Rebar Mills</t>
  </si>
  <si>
    <t>SUP-06</t>
  </si>
  <si>
    <t>Anatolia Steel Trading</t>
  </si>
  <si>
    <t>TR</t>
  </si>
  <si>
    <t>SUP-07</t>
  </si>
  <si>
    <t>Lakeside Wire Products</t>
  </si>
  <si>
    <t>SUP-08</t>
  </si>
  <si>
    <t>Hanbit Strand Co.</t>
  </si>
  <si>
    <t>KR</t>
  </si>
  <si>
    <t>SUP-09</t>
  </si>
  <si>
    <t>Sierra Rubber Works</t>
  </si>
  <si>
    <t>MX</t>
  </si>
  <si>
    <t>SUP-10</t>
  </si>
  <si>
    <t>Rhein Lifting Systems</t>
  </si>
  <si>
    <t>DE</t>
  </si>
  <si>
    <t>SUP-12</t>
  </si>
  <si>
    <t>Westway Site Supply</t>
  </si>
  <si>
    <t>comp_code</t>
  </si>
  <si>
    <t>unit_cost</t>
  </si>
  <si>
    <t>origin_country</t>
  </si>
  <si>
    <t>comp_key</t>
  </si>
  <si>
    <t>unit_cost_cad</t>
  </si>
  <si>
    <t>key_count</t>
  </si>
  <si>
    <t>CMT-GU</t>
  </si>
  <si>
    <t>Portland cement Type GU</t>
  </si>
  <si>
    <t>2523.29</t>
  </si>
  <si>
    <t>SCM-FA</t>
  </si>
  <si>
    <t>Fly ash Class F</t>
  </si>
  <si>
    <t>2621.90</t>
  </si>
  <si>
    <t>AGG-20</t>
  </si>
  <si>
    <t>Coarse aggregate 20 mm</t>
  </si>
  <si>
    <t>2517.10</t>
  </si>
  <si>
    <t>AGG-SND</t>
  </si>
  <si>
    <t>Concrete sand</t>
  </si>
  <si>
    <t>2505.90</t>
  </si>
  <si>
    <t>ADM-SP</t>
  </si>
  <si>
    <t>Superplasticizer admixture</t>
  </si>
  <si>
    <t>L</t>
  </si>
  <si>
    <t>3824.40</t>
  </si>
  <si>
    <t>ADM-AE</t>
  </si>
  <si>
    <t>Air-entraining admixture</t>
  </si>
  <si>
    <t>382440</t>
  </si>
  <si>
    <t>RB-10M</t>
  </si>
  <si>
    <t>Rebar 10M</t>
  </si>
  <si>
    <t>7214.20</t>
  </si>
  <si>
    <t>RB-15M</t>
  </si>
  <si>
    <t>Rebar 15M</t>
  </si>
  <si>
    <t>RB-20M</t>
  </si>
  <si>
    <t>Rebar 20M</t>
  </si>
  <si>
    <t>WWM-152</t>
  </si>
  <si>
    <t>Welded wire mesh 152x152 MW25.8</t>
  </si>
  <si>
    <t>7314.20</t>
  </si>
  <si>
    <t>STR-127</t>
  </si>
  <si>
    <t>Prestressing strand 12.7 mm</t>
  </si>
  <si>
    <t>7312.10</t>
  </si>
  <si>
    <t>GSK-0600</t>
  </si>
  <si>
    <t>Rubber pipe gasket 600 mm</t>
  </si>
  <si>
    <t>4016.93</t>
  </si>
  <si>
    <t>GSK-0900</t>
  </si>
  <si>
    <t>Rubber pipe gasket 900 mm</t>
  </si>
  <si>
    <t>GSK-1200</t>
  </si>
  <si>
    <t>Rubber pipe gasket 1200 mm</t>
  </si>
  <si>
    <t>LFT-ANC</t>
  </si>
  <si>
    <t>Lifting anchor 2.5 t</t>
  </si>
  <si>
    <t>7326.90</t>
  </si>
  <si>
    <t>CST-FRM</t>
  </si>
  <si>
    <t>Catch basin frame and grate casting</t>
  </si>
  <si>
    <t>SUP-11</t>
  </si>
  <si>
    <t>IN</t>
  </si>
  <si>
    <t>7325.10</t>
  </si>
  <si>
    <t>SEAL-BUT</t>
  </si>
  <si>
    <t>Butyl joint sealant</t>
  </si>
  <si>
    <t>M</t>
  </si>
  <si>
    <t>3214.10</t>
  </si>
  <si>
    <t>FRM-OIL</t>
  </si>
  <si>
    <t>Form release agent</t>
  </si>
  <si>
    <t>2710.19</t>
  </si>
  <si>
    <t xml:space="preserve">rb-15m </t>
  </si>
  <si>
    <t>Rebar 15M (old price)</t>
  </si>
  <si>
    <t>parent_item</t>
  </si>
  <si>
    <t>line_no</t>
  </si>
  <si>
    <t>qty_per</t>
  </si>
  <si>
    <t>comp_description</t>
  </si>
  <si>
    <t>comp_uom</t>
  </si>
  <si>
    <t>conv_factor</t>
  </si>
  <si>
    <t>qty_in_comp_uom</t>
  </si>
  <si>
    <t>extended_cost_cad</t>
  </si>
  <si>
    <t>origin_group</t>
  </si>
  <si>
    <t>units_sold_2025</t>
  </si>
  <si>
    <t>spend_2025_cad</t>
  </si>
  <si>
    <t>RB-12M</t>
  </si>
  <si>
    <t>cst-frm</t>
  </si>
  <si>
    <t>invoice_no</t>
  </si>
  <si>
    <t>invoice_date</t>
  </si>
  <si>
    <t>customer_id</t>
  </si>
  <si>
    <t>ship_to_region</t>
  </si>
  <si>
    <t>ship_to_country</t>
  </si>
  <si>
    <t>qty</t>
  </si>
  <si>
    <t>unit_price_cad</t>
  </si>
  <si>
    <t>revenue_cad</t>
  </si>
  <si>
    <t>priced_qty</t>
  </si>
  <si>
    <t>discount_vs_list</t>
  </si>
  <si>
    <t>cost_of_sales_cad</t>
  </si>
  <si>
    <t>INV-25101</t>
  </si>
  <si>
    <t>CUST-006</t>
  </si>
  <si>
    <t>AB</t>
  </si>
  <si>
    <t>INV-25244</t>
  </si>
  <si>
    <t>CUST-002</t>
  </si>
  <si>
    <t>INV-25088</t>
  </si>
  <si>
    <t>INV-25021</t>
  </si>
  <si>
    <t>CUST-001</t>
  </si>
  <si>
    <t>INV-25082</t>
  </si>
  <si>
    <t>CUST-004</t>
  </si>
  <si>
    <t>BC</t>
  </si>
  <si>
    <t>INV-25122</t>
  </si>
  <si>
    <t>CUST-005</t>
  </si>
  <si>
    <t>MB</t>
  </si>
  <si>
    <t>INV-25128</t>
  </si>
  <si>
    <t>INV-25029</t>
  </si>
  <si>
    <t>INV-25201</t>
  </si>
  <si>
    <t>CUST-007</t>
  </si>
  <si>
    <t>MT</t>
  </si>
  <si>
    <t>INV-25091</t>
  </si>
  <si>
    <t>CUST-009</t>
  </si>
  <si>
    <t>SK</t>
  </si>
  <si>
    <t>INV-25217</t>
  </si>
  <si>
    <t>CUST-008</t>
  </si>
  <si>
    <t>ND</t>
  </si>
  <si>
    <t>INV-25135</t>
  </si>
  <si>
    <t>INV-25238</t>
  </si>
  <si>
    <t>INV-25150</t>
  </si>
  <si>
    <t>INV-25232</t>
  </si>
  <si>
    <t>CUST-010</t>
  </si>
  <si>
    <t>INV-25173</t>
  </si>
  <si>
    <t>INV-25156</t>
  </si>
  <si>
    <t>INV-25031</t>
  </si>
  <si>
    <t>INV-25178</t>
  </si>
  <si>
    <t>INV-25044</t>
  </si>
  <si>
    <t>INV-25152</t>
  </si>
  <si>
    <t>CUST-003</t>
  </si>
  <si>
    <t>INV-25138</t>
  </si>
  <si>
    <t>INV-25205</t>
  </si>
  <si>
    <t>INV-25030</t>
  </si>
  <si>
    <t>INV-25130</t>
  </si>
  <si>
    <t>INV-25208</t>
  </si>
  <si>
    <t>INV-25052</t>
  </si>
  <si>
    <t>INV-25177</t>
  </si>
  <si>
    <t>INV-25058</t>
  </si>
  <si>
    <t>INV-25241</t>
  </si>
  <si>
    <t>INV-25002</t>
  </si>
  <si>
    <t>INV-25037</t>
  </si>
  <si>
    <t>INV-25246</t>
  </si>
  <si>
    <t>INV-25005</t>
  </si>
  <si>
    <t>INV-25072</t>
  </si>
  <si>
    <t>INV-25100</t>
  </si>
  <si>
    <t>INV-25001</t>
  </si>
  <si>
    <t>INV-25067</t>
  </si>
  <si>
    <t>INV-25073</t>
  </si>
  <si>
    <t>INV-25033</t>
  </si>
  <si>
    <t>INV-25185</t>
  </si>
  <si>
    <t>INV-25017</t>
  </si>
  <si>
    <t>INV-25166</t>
  </si>
  <si>
    <t>INV-25245</t>
  </si>
  <si>
    <t>INV-25148</t>
  </si>
  <si>
    <t>INV-25176</t>
  </si>
  <si>
    <t>INV-25035</t>
  </si>
  <si>
    <t>INV-25160</t>
  </si>
  <si>
    <t>INV-25192</t>
  </si>
  <si>
    <t>INV-25191</t>
  </si>
  <si>
    <t>INV-25222</t>
  </si>
  <si>
    <t>INV-25254</t>
  </si>
  <si>
    <t>INV-25159</t>
  </si>
  <si>
    <t>INV-25142</t>
  </si>
  <si>
    <t>INV-25213</t>
  </si>
  <si>
    <t>INV-25099</t>
  </si>
  <si>
    <t>INV-25247</t>
  </si>
  <si>
    <t>INV-25076</t>
  </si>
  <si>
    <t>INV-25182</t>
  </si>
  <si>
    <t>INV-25087</t>
  </si>
  <si>
    <t>INV-25158</t>
  </si>
  <si>
    <t>INV-25195</t>
  </si>
  <si>
    <t>INV-25240</t>
  </si>
  <si>
    <t>INV-25203</t>
  </si>
  <si>
    <t>INV-25165</t>
  </si>
  <si>
    <t>INV-25126</t>
  </si>
  <si>
    <t>INV-25163</t>
  </si>
  <si>
    <t>INV-25223</t>
  </si>
  <si>
    <t>INV-25055</t>
  </si>
  <si>
    <t>INV-25066</t>
  </si>
  <si>
    <t>INV-25184</t>
  </si>
  <si>
    <t>INV-25188</t>
  </si>
  <si>
    <t>INV-25169</t>
  </si>
  <si>
    <t>INV-25078</t>
  </si>
  <si>
    <t>INV-25219</t>
  </si>
  <si>
    <t>INV-25042</t>
  </si>
  <si>
    <t>INV-25116</t>
  </si>
  <si>
    <t>INV-25063</t>
  </si>
  <si>
    <t>INV-25199</t>
  </si>
  <si>
    <t>INV-25075</t>
  </si>
  <si>
    <t>INV-25144</t>
  </si>
  <si>
    <t>INV-25237</t>
  </si>
  <si>
    <t>INV-25106</t>
  </si>
  <si>
    <t>INV-25007</t>
  </si>
  <si>
    <t>INV-25171</t>
  </si>
  <si>
    <t>INV-25023</t>
  </si>
  <si>
    <t>INV-25090</t>
  </si>
  <si>
    <t>INV-25117</t>
  </si>
  <si>
    <t>INV-25131</t>
  </si>
  <si>
    <t>INV-25145</t>
  </si>
  <si>
    <t>INV-25220</t>
  </si>
  <si>
    <t>INV-25069</t>
  </si>
  <si>
    <t>INV-25096</t>
  </si>
  <si>
    <t>INV-25139</t>
  </si>
  <si>
    <t>INV-25255</t>
  </si>
  <si>
    <t>INV-25032</t>
  </si>
  <si>
    <t>INV-25060</t>
  </si>
  <si>
    <t>INV-25181</t>
  </si>
  <si>
    <t>INV-25061</t>
  </si>
  <si>
    <t>INV-25025</t>
  </si>
  <si>
    <t>INV-25050</t>
  </si>
  <si>
    <t>INV-25146</t>
  </si>
  <si>
    <t>INV-25039</t>
  </si>
  <si>
    <t>INV-25103</t>
  </si>
  <si>
    <t>INV-25134</t>
  </si>
  <si>
    <t>INV-25114</t>
  </si>
  <si>
    <t>INV-25179</t>
  </si>
  <si>
    <t>INV-25119</t>
  </si>
  <si>
    <t>INV-25141</t>
  </si>
  <si>
    <t>INV-25209</t>
  </si>
  <si>
    <t>INV-25071</t>
  </si>
  <si>
    <t>INV-25085</t>
  </si>
  <si>
    <t>INV-25133</t>
  </si>
  <si>
    <t>INV-25107</t>
  </si>
  <si>
    <t>INV-25105</t>
  </si>
  <si>
    <t>INV-25112</t>
  </si>
  <si>
    <t>INV-25235</t>
  </si>
  <si>
    <t>INV-25054</t>
  </si>
  <si>
    <t>INV-25059</t>
  </si>
  <si>
    <t>INV-25068</t>
  </si>
  <si>
    <t>INV-25098</t>
  </si>
  <si>
    <t>INV-25161</t>
  </si>
  <si>
    <t>INV-25256</t>
  </si>
  <si>
    <t>INV-25011</t>
  </si>
  <si>
    <t>INV-25028</t>
  </si>
  <si>
    <t>INV-25127</t>
  </si>
  <si>
    <t>INV-25211</t>
  </si>
  <si>
    <t>INV-25104</t>
  </si>
  <si>
    <t>INV-25218</t>
  </si>
  <si>
    <t>INV-25048</t>
  </si>
  <si>
    <t>INV-25225</t>
  </si>
  <si>
    <t>INV-25036</t>
  </si>
  <si>
    <t>INV-25047</t>
  </si>
  <si>
    <t>INV-25094</t>
  </si>
  <si>
    <t>INV-25092</t>
  </si>
  <si>
    <t>INV-25226</t>
  </si>
  <si>
    <t>INV-25084</t>
  </si>
  <si>
    <t>INV-25118</t>
  </si>
  <si>
    <t>INV-25137</t>
  </si>
  <si>
    <t>INV-25019</t>
  </si>
  <si>
    <t>INV-25020</t>
  </si>
  <si>
    <t>INV-25190</t>
  </si>
  <si>
    <t>INV-25189</t>
  </si>
  <si>
    <t>INV-25155</t>
  </si>
  <si>
    <t>INV-25252</t>
  </si>
  <si>
    <t>INV-25062</t>
  </si>
  <si>
    <t>INV-25233</t>
  </si>
  <si>
    <t>INV-25070</t>
  </si>
  <si>
    <t>INV-25079</t>
  </si>
  <si>
    <t>INV-25259</t>
  </si>
  <si>
    <t>INV-25249</t>
  </si>
  <si>
    <t>INV-25250</t>
  </si>
  <si>
    <t>INV-25109</t>
  </si>
  <si>
    <t>INV-25186</t>
  </si>
  <si>
    <t>INV-25113</t>
  </si>
  <si>
    <t>INV-25115</t>
  </si>
  <si>
    <t>INV-25248</t>
  </si>
  <si>
    <t>INV-25193</t>
  </si>
  <si>
    <t>INV-25174</t>
  </si>
  <si>
    <t>INV-25228</t>
  </si>
  <si>
    <t>INV-25018</t>
  </si>
  <si>
    <t>INV-25022</t>
  </si>
  <si>
    <t>INV-25086</t>
  </si>
  <si>
    <t>INV-25049</t>
  </si>
  <si>
    <t>INV-25111</t>
  </si>
  <si>
    <t>INV-25129</t>
  </si>
  <si>
    <t>INV-25136</t>
  </si>
  <si>
    <t>INV-25180</t>
  </si>
  <si>
    <t>INV-25194</t>
  </si>
  <si>
    <t>INV-25214</t>
  </si>
  <si>
    <t>INV-25206</t>
  </si>
  <si>
    <t>INV-25251</t>
  </si>
  <si>
    <t>INV-25167</t>
  </si>
  <si>
    <t>INV-25215</t>
  </si>
  <si>
    <t>INV-25027</t>
  </si>
  <si>
    <t>INV-25124</t>
  </si>
  <si>
    <t>INV-25168</t>
  </si>
  <si>
    <t>INV-25108</t>
  </si>
  <si>
    <t>INV-25024</t>
  </si>
  <si>
    <t>INV-25040</t>
  </si>
  <si>
    <t>INV-25234</t>
  </si>
  <si>
    <t>INV-25008</t>
  </si>
  <si>
    <t>INV-25132</t>
  </si>
  <si>
    <t>INV-25026</t>
  </si>
  <si>
    <t>INV-25081</t>
  </si>
  <si>
    <t>INV-25154</t>
  </si>
  <si>
    <t>INV-25046</t>
  </si>
  <si>
    <t>INV-25041</t>
  </si>
  <si>
    <t>INV-25187</t>
  </si>
  <si>
    <t>INV-25016</t>
  </si>
  <si>
    <t>INV-25140</t>
  </si>
  <si>
    <t>INV-25051</t>
  </si>
  <si>
    <t>INV-25172</t>
  </si>
  <si>
    <t>INV-25236</t>
  </si>
  <si>
    <t>INV-25260</t>
  </si>
  <si>
    <t>INV-25216</t>
  </si>
  <si>
    <t>INV-25102</t>
  </si>
  <si>
    <t>INV-25212</t>
  </si>
  <si>
    <t>INV-25200</t>
  </si>
  <si>
    <t>INV-25009</t>
  </si>
  <si>
    <t>INV-25147</t>
  </si>
  <si>
    <t>INV-25151</t>
  </si>
  <si>
    <t>INV-25077</t>
  </si>
  <si>
    <t>INV-25227</t>
  </si>
  <si>
    <t>INV-25198</t>
  </si>
  <si>
    <t>INV-25253</t>
  </si>
  <si>
    <t>INV-25207</t>
  </si>
  <si>
    <t>INV-25162</t>
  </si>
  <si>
    <t>INV-25064</t>
  </si>
  <si>
    <t>INV-25014</t>
  </si>
  <si>
    <t>INV-25056</t>
  </si>
  <si>
    <t>INV-25003</t>
  </si>
  <si>
    <t>INV-25015</t>
  </si>
  <si>
    <t>INV-25175</t>
  </si>
  <si>
    <t>INV-25074</t>
  </si>
  <si>
    <t>INV-25123</t>
  </si>
  <si>
    <t>INV-25258</t>
  </si>
  <si>
    <t>INV-25012</t>
  </si>
  <si>
    <t>INV-25004</t>
  </si>
  <si>
    <t>INV-25157</t>
  </si>
  <si>
    <t>INV-25183</t>
  </si>
  <si>
    <t>INV-25210</t>
  </si>
  <si>
    <t>INV-25080</t>
  </si>
  <si>
    <t>INV-25095</t>
  </si>
  <si>
    <t>INV-25170</t>
  </si>
  <si>
    <t>INV-25034</t>
  </si>
  <si>
    <t>INV-25013</t>
  </si>
  <si>
    <t>INV-25242</t>
  </si>
  <si>
    <t>INV-25065</t>
  </si>
  <si>
    <t>INV-25197</t>
  </si>
  <si>
    <t>INV-25239</t>
  </si>
  <si>
    <t>INV-25257</t>
  </si>
  <si>
    <t>INV-25153</t>
  </si>
  <si>
    <t>INV-25202</t>
  </si>
  <si>
    <t>PC-RCP-0750</t>
  </si>
  <si>
    <t>INV-25221</t>
  </si>
  <si>
    <t>INV-25229</t>
  </si>
  <si>
    <t>INV-25243</t>
  </si>
  <si>
    <t>INV-25097</t>
  </si>
  <si>
    <t>INV-25143</t>
  </si>
  <si>
    <t>INV-25120</t>
  </si>
  <si>
    <t>INV-25125</t>
  </si>
  <si>
    <t>INV-25231</t>
  </si>
  <si>
    <t>INV-25089</t>
  </si>
  <si>
    <t>INV-25010</t>
  </si>
  <si>
    <t>INV-25038</t>
  </si>
  <si>
    <t>INV-25204</t>
  </si>
  <si>
    <t>INV-25043</t>
  </si>
  <si>
    <t>INV-25121</t>
  </si>
  <si>
    <t>INV-25196</t>
  </si>
  <si>
    <t>INV-25110</t>
  </si>
  <si>
    <t>INV-25149</t>
  </si>
  <si>
    <t>INV-25093</t>
  </si>
  <si>
    <t>INV-25224</t>
  </si>
  <si>
    <t>INV-25053</t>
  </si>
  <si>
    <t>INV-25057</t>
  </si>
  <si>
    <t>INV-25230</t>
  </si>
  <si>
    <t>INV-25045</t>
  </si>
  <si>
    <t>INV-25083</t>
  </si>
  <si>
    <t>INV-25164</t>
  </si>
  <si>
    <t>INV-25006</t>
  </si>
  <si>
    <t>Product Cost Roll-up</t>
  </si>
  <si>
    <t>Material cost from the BOM + estimated conversion cost, compared with 2025 average selling price.</t>
  </si>
  <si>
    <t>Item</t>
  </si>
  <si>
    <t>Description</t>
  </si>
  <si>
    <t>Category</t>
  </si>
  <si>
    <t>Material cost (CAD)</t>
  </si>
  <si>
    <t>Conversion cost (CAD)</t>
  </si>
  <si>
    <t>Total unit cost (CAD)</t>
  </si>
  <si>
    <t>List price (CAD)</t>
  </si>
  <si>
    <t>Avg selling price 2025 (CAD)</t>
  </si>
  <si>
    <t>Margin per unit (CAD)</t>
  </si>
  <si>
    <t>Margin %</t>
  </si>
  <si>
    <t>Cost-to-price ratio</t>
  </si>
  <si>
    <t>Domestic share of material cost</t>
  </si>
  <si>
    <t>BOM lines</t>
  </si>
  <si>
    <t>Lines to review</t>
  </si>
  <si>
    <t>Data status</t>
  </si>
  <si>
    <t>Note: 'Incomplete' items have BOM lines to review (missing cost, origin or part number). A missing cost means material cost is understated. See BOM (status = CHECK).</t>
  </si>
  <si>
    <t>Sourcing Analysis (2025)</t>
  </si>
  <si>
    <t>Material spend = BOM extended cost x units sold in 2025. Shows where purchased material comes from.</t>
  </si>
  <si>
    <t>Origin country</t>
  </si>
  <si>
    <t>Material spend 2025 (CAD)</t>
  </si>
  <si>
    <t>Share of spend</t>
  </si>
  <si>
    <t>Supplier</t>
  </si>
  <si>
    <t>Supplier name</t>
  </si>
  <si>
    <t>Country</t>
  </si>
  <si>
    <t>Lead time (days)</t>
  </si>
  <si>
    <t>Lead time flag</t>
  </si>
  <si>
    <t>UNKNOWN</t>
  </si>
  <si>
    <t>Total costed spend</t>
  </si>
  <si>
    <t>Check: all BOM spend</t>
  </si>
  <si>
    <t>Difference (should be 0)</t>
  </si>
  <si>
    <t>If the difference is not 0, add the missing country code to column A.</t>
  </si>
  <si>
    <t>(other)</t>
  </si>
  <si>
    <t>Not in supplier list</t>
  </si>
  <si>
    <t>Total</t>
  </si>
  <si>
    <t>Sales and Margin Summary (2025)</t>
  </si>
  <si>
    <t>Built with SUMIFS. A PivotTable version is one of the exercises in docs/EXERCISES.md.</t>
  </si>
  <si>
    <t>Key figures</t>
  </si>
  <si>
    <t>Revenue, all priced lines (CAD)</t>
  </si>
  <si>
    <t>Revenue with known cost (CAD)</t>
  </si>
  <si>
    <t>Cost of sales (CAD)</t>
  </si>
  <si>
    <t>Gross margin (CAD)</t>
  </si>
  <si>
    <t>Gross margin %</t>
  </si>
  <si>
    <t>Units shipped</t>
  </si>
  <si>
    <t>Invoice lines</t>
  </si>
  <si>
    <t>Invoice lines to review</t>
  </si>
  <si>
    <t>By product category</t>
  </si>
  <si>
    <t>Units</t>
  </si>
  <si>
    <t>Revenue (CAD)</t>
  </si>
  <si>
    <t>GM %</t>
  </si>
  <si>
    <t>Totals exclude invoice lines for unknown items. Items with incomplete BOM costs overstate margin.</t>
  </si>
  <si>
    <t>By ship-to country</t>
  </si>
  <si>
    <t>Share of revenue</t>
  </si>
  <si>
    <t>Data Quality Checks</t>
  </si>
  <si>
    <t>Each check counts flagged rows on its source sheet. Filter that sheet's 'status' column to CHECK to see them.</t>
  </si>
  <si>
    <t>ID</t>
  </si>
  <si>
    <t>Check</t>
  </si>
  <si>
    <t>How it is tested</t>
  </si>
  <si>
    <t>Rows flagged</t>
  </si>
  <si>
    <t>Severity</t>
  </si>
  <si>
    <t>Suggested action</t>
  </si>
  <si>
    <t>DQ-01</t>
  </si>
  <si>
    <t>HS code missing or wrong format</t>
  </si>
  <si>
    <t>Blank, not 7 characters, or no dot in position 5 (####.##)</t>
  </si>
  <si>
    <t>Medium</t>
  </si>
  <si>
    <t>Confirm HS code with the product team</t>
  </si>
  <si>
    <t>DQ-02</t>
  </si>
  <si>
    <t>Unit cost missing</t>
  </si>
  <si>
    <t>unit_cost is blank</t>
  </si>
  <si>
    <t>High</t>
  </si>
  <si>
    <t>Get latest purchase price from purchasing</t>
  </si>
  <si>
    <t>DQ-03</t>
  </si>
  <si>
    <t>Country of origin missing</t>
  </si>
  <si>
    <t>origin_country is blank</t>
  </si>
  <si>
    <t>Request origin information from the supplier</t>
  </si>
  <si>
    <t>DQ-04</t>
  </si>
  <si>
    <t>Supplier not in supplier list</t>
  </si>
  <si>
    <t>supplier_id has no match on Suppliers</t>
  </si>
  <si>
    <t>Add the supplier or correct the ID</t>
  </si>
  <si>
    <t>DQ-05</t>
  </si>
  <si>
    <t>Duplicate component code</t>
  </si>
  <si>
    <t>Same code after TRIM + UPPER appears more than once</t>
  </si>
  <si>
    <t>Keep one record; confirm which cost is current</t>
  </si>
  <si>
    <t>DQ-06</t>
  </si>
  <si>
    <t>HS code format</t>
  </si>
  <si>
    <t>Blank, not 7 characters, or no dot in position 5</t>
  </si>
  <si>
    <t>Low</t>
  </si>
  <si>
    <t>Correct the format (####.##)</t>
  </si>
  <si>
    <t>DQ-07</t>
  </si>
  <si>
    <t>Component code not found</t>
  </si>
  <si>
    <t>comp_key has no match on Components</t>
  </si>
  <si>
    <t>Ask engineering for the correct part number</t>
  </si>
  <si>
    <t>DQ-08</t>
  </si>
  <si>
    <t>No unit conversion available</t>
  </si>
  <si>
    <t>BOM unit differs from component unit and no factor exists</t>
  </si>
  <si>
    <t>Add the factor on Assumptions</t>
  </si>
  <si>
    <t>DQ-09</t>
  </si>
  <si>
    <t>Line has no cost</t>
  </si>
  <si>
    <t>Component found but its unit cost is blank</t>
  </si>
  <si>
    <t>Fix the component cost (see Components)</t>
  </si>
  <si>
    <t>DQ-10</t>
  </si>
  <si>
    <t>Line has no country of origin</t>
  </si>
  <si>
    <t>Component found but origin is blank</t>
  </si>
  <si>
    <t>Fix the component origin (see Components)</t>
  </si>
  <si>
    <t>DQ-11</t>
  </si>
  <si>
    <t>Unit converted automatically (info)</t>
  </si>
  <si>
    <t>BOM unit differs from component unit; factor applied</t>
  </si>
  <si>
    <t>Info</t>
  </si>
  <si>
    <t>Confirm the BOM unit is intended (e.g. LB vs KG)</t>
  </si>
  <si>
    <t>DQ-12</t>
  </si>
  <si>
    <t>Code cleaned by TRIM/UPPER (info)</t>
  </si>
  <si>
    <t>Original code differs from cleaned key (case or spaces)</t>
  </si>
  <si>
    <t>Standardise the code in the source system</t>
  </si>
  <si>
    <t>DQ-13</t>
  </si>
  <si>
    <t>Unit price missing</t>
  </si>
  <si>
    <t>unit_price_cad is blank</t>
  </si>
  <si>
    <t>Check the invoice in the ERP</t>
  </si>
  <si>
    <t>DQ-14</t>
  </si>
  <si>
    <t>Item not in item list</t>
  </si>
  <si>
    <t>item_no has no match on Items</t>
  </si>
  <si>
    <t>Add the item or correct the item number</t>
  </si>
  <si>
    <t>DQ-15</t>
  </si>
  <si>
    <t>Discount above limit</t>
  </si>
  <si>
    <t>Price is more than the Assumptions threshold below list price</t>
  </si>
  <si>
    <t>Confirm the discount was approved</t>
  </si>
  <si>
    <t>Rows with status CHECK, by sheet</t>
  </si>
  <si>
    <t>Open Questions Log</t>
  </si>
  <si>
    <t>Q#</t>
  </si>
  <si>
    <t>Date raised</t>
  </si>
  <si>
    <t>Related check</t>
  </si>
  <si>
    <t>Item / component</t>
  </si>
  <si>
    <t>Question</t>
  </si>
  <si>
    <t>Ask</t>
  </si>
  <si>
    <t>Status</t>
  </si>
  <si>
    <t>Answer / notes</t>
  </si>
  <si>
    <t>Q01</t>
  </si>
  <si>
    <t>What is the country of origin for the 1200 mm gasket? Request a supplier declaration.</t>
  </si>
  <si>
    <t>Purchasing</t>
  </si>
  <si>
    <t>Open</t>
  </si>
  <si>
    <t>Q02</t>
  </si>
  <si>
    <t>What is the current purchase price for butyl joint sealant (per metre)?</t>
  </si>
  <si>
    <t>Q03</t>
  </si>
  <si>
    <t>Supplier SUP-11 is not in the supplier list. Is this a new vendor or a wrong ID?</t>
  </si>
  <si>
    <t>Q04</t>
  </si>
  <si>
    <t>Two records exist for RB-15M ($1.31 and $1.29/kg). Which price is current?</t>
  </si>
  <si>
    <t>Q05</t>
  </si>
  <si>
    <t>BOM uses RB-12M, which does not exist. Should it be RB-10M or RB-15M?</t>
  </si>
  <si>
    <t>Engineering</t>
  </si>
  <si>
    <t>Q06</t>
  </si>
  <si>
    <t>Rebar quantity is in LB, other BOMs use KG. Is 121 lb (about 55 kg) correct?</t>
  </si>
  <si>
    <t>Q07</t>
  </si>
  <si>
    <t>HS code is missing for the 250 mm hollow-core slab. Confirm the classification.</t>
  </si>
  <si>
    <t>Product team</t>
  </si>
  <si>
    <t>Q08</t>
  </si>
  <si>
    <t>Invoice lists item PC-RCP-0750, which is not in the item list. New product or typo?</t>
  </si>
  <si>
    <t>Q09</t>
  </si>
  <si>
    <t>(2 invoices)</t>
  </si>
  <si>
    <t>Two invoices are priced 30-38% below list price. Were these discounts approved?</t>
  </si>
  <si>
    <t>Q10</t>
  </si>
  <si>
    <t>Two invoice lines have no unit price. Can the price be confirmed from the ERP?</t>
  </si>
  <si>
    <t>Accounting</t>
  </si>
  <si>
    <t>Questions raised by the data checks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</si>
</sst>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0.########"/>
    <numFmt numFmtId="166" formatCode="0.0%;\(0.0%\);\-"/>
    <numFmt numFmtId="167" formatCode="\$#,##0.00;&quot;($&quot;#,##0.00\);\-"/>
    <numFmt numFmtId="168" formatCode="#,##0.####"/>
    <numFmt numFmtId="169" formatCode="0.####"/>
    <numFmt numFmtId="170" formatCode="\$#,##0;&quot;($&quot;#,##0\);\-"/>
    <numFmt numFmtId="171" formatCode="yyyy\-mm\-dd"/>
  </numFmts>
  <fonts count="10" x14ac:knownFonts="1">
    <font>
      <sz val="11"/>
      <color theme="1"/>
      <name val="Calibri"/>
      <family val="2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b/>
      <sz val="10"/>
      <color rgb="FF00800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5B7F95"/>
        <bgColor rgb="FF808080"/>
      </patternFill>
    </fill>
    <fill>
      <patternFill patternType="solid">
        <fgColor rgb="FFD9E1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5" fillId="4" borderId="0" xfId="0" applyFont="1" applyFill="1"/>
    <xf numFmtId="0" fontId="8" fillId="0" borderId="1" xfId="0" applyFont="1" applyBorder="1"/>
    <xf numFmtId="164" fontId="8" fillId="3" borderId="1" xfId="0" applyNumberFormat="1" applyFont="1" applyFill="1" applyBorder="1"/>
    <xf numFmtId="0" fontId="2" fillId="0" borderId="1" xfId="0" applyFont="1" applyBorder="1"/>
    <xf numFmtId="0" fontId="4" fillId="0" borderId="1" xfId="0" applyFont="1" applyBorder="1"/>
    <xf numFmtId="165" fontId="8" fillId="3" borderId="1" xfId="0" applyNumberFormat="1" applyFont="1" applyFill="1" applyBorder="1"/>
    <xf numFmtId="0" fontId="8" fillId="3" borderId="1" xfId="0" applyFont="1" applyFill="1" applyBorder="1"/>
    <xf numFmtId="166" fontId="8" fillId="3" borderId="1" xfId="0" applyNumberFormat="1" applyFont="1" applyFill="1" applyBorder="1"/>
    <xf numFmtId="3" fontId="8" fillId="3" borderId="1" xfId="0" applyNumberFormat="1" applyFont="1" applyFill="1" applyBorder="1"/>
    <xf numFmtId="0" fontId="5" fillId="2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167" fontId="8" fillId="0" borderId="1" xfId="0" applyNumberFormat="1" applyFont="1" applyBorder="1"/>
    <xf numFmtId="3" fontId="8" fillId="0" borderId="1" xfId="0" applyNumberFormat="1" applyFont="1" applyBorder="1"/>
    <xf numFmtId="167" fontId="4" fillId="0" borderId="1" xfId="0" applyNumberFormat="1" applyFont="1" applyBorder="1"/>
    <xf numFmtId="168" fontId="8" fillId="0" borderId="1" xfId="0" applyNumberFormat="1" applyFont="1" applyBorder="1"/>
    <xf numFmtId="169" fontId="4" fillId="0" borderId="1" xfId="0" applyNumberFormat="1" applyFont="1" applyBorder="1"/>
    <xf numFmtId="168" fontId="4" fillId="0" borderId="1" xfId="0" applyNumberFormat="1" applyFont="1" applyBorder="1"/>
    <xf numFmtId="3" fontId="4" fillId="0" borderId="1" xfId="0" applyNumberFormat="1" applyFont="1" applyBorder="1"/>
    <xf numFmtId="170" fontId="4" fillId="0" borderId="1" xfId="0" applyNumberFormat="1" applyFont="1" applyBorder="1"/>
    <xf numFmtId="171" fontId="8" fillId="0" borderId="1" xfId="0" applyNumberFormat="1" applyFont="1" applyBorder="1"/>
    <xf numFmtId="166" fontId="4" fillId="0" borderId="1" xfId="0" applyNumberFormat="1" applyFont="1" applyBorder="1"/>
    <xf numFmtId="0" fontId="9" fillId="0" borderId="1" xfId="0" applyFont="1" applyBorder="1"/>
    <xf numFmtId="167" fontId="9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3" fontId="9" fillId="0" borderId="1" xfId="0" applyNumberFormat="1" applyFont="1" applyBorder="1"/>
    <xf numFmtId="0" fontId="3" fillId="5" borderId="1" xfId="0" applyFont="1" applyFill="1" applyBorder="1"/>
    <xf numFmtId="170" fontId="3" fillId="5" borderId="1" xfId="0" applyNumberFormat="1" applyFont="1" applyFill="1" applyBorder="1"/>
    <xf numFmtId="166" fontId="3" fillId="5" borderId="1" xfId="0" applyNumberFormat="1" applyFont="1" applyFill="1" applyBorder="1"/>
    <xf numFmtId="3" fontId="3" fillId="5" borderId="1" xfId="0" applyNumberFormat="1" applyFont="1" applyFill="1" applyBorder="1"/>
    <xf numFmtId="170" fontId="3" fillId="0" borderId="1" xfId="0" applyNumberFormat="1" applyFont="1" applyBorder="1"/>
    <xf numFmtId="166" fontId="3" fillId="0" borderId="1" xfId="0" applyNumberFormat="1" applyFont="1" applyBorder="1"/>
    <xf numFmtId="3" fontId="3" fillId="0" borderId="1" xfId="0" applyNumberFormat="1" applyFont="1" applyBorder="1"/>
    <xf numFmtId="0" fontId="5" fillId="4" borderId="1" xfId="0" applyFont="1" applyFill="1" applyBorder="1"/>
    <xf numFmtId="0" fontId="3" fillId="0" borderId="1" xfId="0" applyFont="1" applyBorder="1"/>
    <xf numFmtId="0" fontId="8" fillId="0" borderId="1" xfId="0" applyFont="1" applyBorder="1" applyAlignment="1">
      <alignment vertical="top" wrapText="1"/>
    </xf>
  </cellXfs>
  <cellStyles count="1">
    <cellStyle name="Normal" xfId="0" builtinId="0"/>
  </cellStyles>
  <dxfs count="17"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C55A11"/>
      <rgbColor rgb="FF5B7F9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8"/>
  <sheetViews>
    <sheetView topLeftCell="A46" zoomScaleNormal="100" workbookViewId="0">
      <selection activeCell="B17" sqref="B17"/>
    </sheetView>
  </sheetViews>
  <sheetFormatPr defaultColWidth="8.6640625" defaultRowHeight="14.4" x14ac:dyDescent="0.3"/>
  <cols>
    <col min="1" max="1" width="22" customWidth="1"/>
    <col min="2" max="2" width="9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ht="26.4" x14ac:dyDescent="0.3">
      <c r="A4" s="3" t="s">
        <v>2</v>
      </c>
      <c r="B4" s="4" t="s">
        <v>3</v>
      </c>
    </row>
    <row r="5" spans="1:2" x14ac:dyDescent="0.3">
      <c r="A5" s="5"/>
      <c r="B5" s="4"/>
    </row>
    <row r="6" spans="1:2" x14ac:dyDescent="0.3">
      <c r="A6" s="6" t="s">
        <v>4</v>
      </c>
      <c r="B6" s="7" t="s">
        <v>5</v>
      </c>
    </row>
    <row r="7" spans="1:2" x14ac:dyDescent="0.3">
      <c r="A7" s="3" t="s">
        <v>6</v>
      </c>
      <c r="B7" s="4" t="s">
        <v>7</v>
      </c>
    </row>
    <row r="8" spans="1:2" x14ac:dyDescent="0.3">
      <c r="A8" s="3" t="s">
        <v>8</v>
      </c>
      <c r="B8" s="4" t="s">
        <v>9</v>
      </c>
    </row>
    <row r="9" spans="1:2" x14ac:dyDescent="0.3">
      <c r="A9" s="3" t="s">
        <v>10</v>
      </c>
      <c r="B9" s="4" t="s">
        <v>11</v>
      </c>
    </row>
    <row r="10" spans="1:2" x14ac:dyDescent="0.3">
      <c r="A10" s="3" t="s">
        <v>12</v>
      </c>
      <c r="B10" s="4" t="s">
        <v>13</v>
      </c>
    </row>
    <row r="11" spans="1:2" x14ac:dyDescent="0.3">
      <c r="A11" s="3" t="s">
        <v>14</v>
      </c>
      <c r="B11" s="4" t="s">
        <v>15</v>
      </c>
    </row>
    <row r="12" spans="1:2" x14ac:dyDescent="0.3">
      <c r="A12" s="3" t="s">
        <v>16</v>
      </c>
      <c r="B12" s="4" t="s">
        <v>17</v>
      </c>
    </row>
    <row r="13" spans="1:2" x14ac:dyDescent="0.3">
      <c r="A13" s="3" t="s">
        <v>18</v>
      </c>
      <c r="B13" s="4" t="s">
        <v>19</v>
      </c>
    </row>
    <row r="14" spans="1:2" x14ac:dyDescent="0.3">
      <c r="A14" s="3" t="s">
        <v>20</v>
      </c>
      <c r="B14" s="4" t="s">
        <v>21</v>
      </c>
    </row>
    <row r="15" spans="1:2" x14ac:dyDescent="0.3">
      <c r="A15" s="3" t="s">
        <v>22</v>
      </c>
      <c r="B15" s="4" t="s">
        <v>23</v>
      </c>
    </row>
    <row r="16" spans="1:2" x14ac:dyDescent="0.3">
      <c r="A16" s="3" t="s">
        <v>24</v>
      </c>
      <c r="B16" s="4" t="s">
        <v>25</v>
      </c>
    </row>
    <row r="17" spans="1:2" x14ac:dyDescent="0.3">
      <c r="A17" s="3" t="s">
        <v>26</v>
      </c>
      <c r="B17" s="4" t="s">
        <v>27</v>
      </c>
    </row>
    <row r="18" spans="1:2" x14ac:dyDescent="0.3">
      <c r="A18" s="5"/>
      <c r="B18" s="4"/>
    </row>
    <row r="19" spans="1:2" x14ac:dyDescent="0.3">
      <c r="A19" s="3" t="s">
        <v>28</v>
      </c>
      <c r="B19" s="4"/>
    </row>
    <row r="20" spans="1:2" x14ac:dyDescent="0.3">
      <c r="A20" s="8" t="s">
        <v>29</v>
      </c>
      <c r="B20" s="4" t="s">
        <v>30</v>
      </c>
    </row>
    <row r="21" spans="1:2" x14ac:dyDescent="0.3">
      <c r="A21" s="3" t="s">
        <v>31</v>
      </c>
      <c r="B21" s="4" t="s">
        <v>32</v>
      </c>
    </row>
    <row r="22" spans="1:2" x14ac:dyDescent="0.3">
      <c r="A22" s="9" t="s">
        <v>33</v>
      </c>
      <c r="B22" s="4" t="s">
        <v>34</v>
      </c>
    </row>
    <row r="23" spans="1:2" x14ac:dyDescent="0.3">
      <c r="A23" s="10" t="s">
        <v>35</v>
      </c>
      <c r="B23" s="4" t="s">
        <v>36</v>
      </c>
    </row>
    <row r="24" spans="1:2" x14ac:dyDescent="0.3">
      <c r="A24" s="6" t="s">
        <v>37</v>
      </c>
      <c r="B24" s="4" t="s">
        <v>38</v>
      </c>
    </row>
    <row r="25" spans="1:2" x14ac:dyDescent="0.3">
      <c r="A25" s="11" t="s">
        <v>39</v>
      </c>
      <c r="B25" s="4" t="s">
        <v>40</v>
      </c>
    </row>
    <row r="26" spans="1:2" x14ac:dyDescent="0.3">
      <c r="A26" s="3" t="s">
        <v>41</v>
      </c>
      <c r="B26" s="4" t="s">
        <v>42</v>
      </c>
    </row>
    <row r="27" spans="1:2" x14ac:dyDescent="0.3">
      <c r="A27" s="5"/>
      <c r="B27" s="4"/>
    </row>
    <row r="28" spans="1:2" x14ac:dyDescent="0.3">
      <c r="A28" s="3" t="s">
        <v>43</v>
      </c>
      <c r="B28" s="4" t="s">
        <v>44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F32"/>
  <sheetViews>
    <sheetView topLeftCell="A24" zoomScaleNormal="100" workbookViewId="0"/>
  </sheetViews>
  <sheetFormatPr defaultColWidth="8.6640625" defaultRowHeight="14.4" x14ac:dyDescent="0.3"/>
  <cols>
    <col min="1" max="1" width="4" customWidth="1"/>
    <col min="2" max="2" width="28" customWidth="1"/>
    <col min="3" max="4" width="14" customWidth="1"/>
    <col min="5" max="5" width="12" customWidth="1"/>
    <col min="6" max="6" width="52" customWidth="1"/>
  </cols>
  <sheetData>
    <row r="1" spans="1:6" ht="17.399999999999999" x14ac:dyDescent="0.3">
      <c r="A1" s="1" t="s">
        <v>45</v>
      </c>
    </row>
    <row r="2" spans="1:6" x14ac:dyDescent="0.3">
      <c r="A2" s="2" t="s">
        <v>46</v>
      </c>
    </row>
    <row r="4" spans="1:6" x14ac:dyDescent="0.3">
      <c r="B4" s="3" t="s">
        <v>47</v>
      </c>
    </row>
    <row r="5" spans="1:6" x14ac:dyDescent="0.3">
      <c r="B5" s="11" t="s">
        <v>48</v>
      </c>
      <c r="C5" s="11" t="s">
        <v>49</v>
      </c>
      <c r="D5" s="11" t="s">
        <v>50</v>
      </c>
    </row>
    <row r="6" spans="1:6" x14ac:dyDescent="0.3">
      <c r="B6" s="12" t="s">
        <v>51</v>
      </c>
      <c r="C6" s="13">
        <v>1</v>
      </c>
      <c r="D6" s="14" t="s">
        <v>52</v>
      </c>
    </row>
    <row r="7" spans="1:6" x14ac:dyDescent="0.3">
      <c r="B7" s="12" t="s">
        <v>53</v>
      </c>
      <c r="C7" s="13">
        <v>1.37</v>
      </c>
      <c r="D7" s="14" t="s">
        <v>54</v>
      </c>
    </row>
    <row r="8" spans="1:6" x14ac:dyDescent="0.3">
      <c r="B8" s="12" t="s">
        <v>55</v>
      </c>
      <c r="C8" s="13">
        <v>1.5</v>
      </c>
      <c r="D8" s="14" t="s">
        <v>54</v>
      </c>
    </row>
    <row r="11" spans="1:6" x14ac:dyDescent="0.3">
      <c r="B11" s="3" t="s">
        <v>56</v>
      </c>
    </row>
    <row r="12" spans="1:6" x14ac:dyDescent="0.3">
      <c r="B12" s="11" t="s">
        <v>57</v>
      </c>
      <c r="C12" s="11" t="s">
        <v>58</v>
      </c>
      <c r="D12" s="11" t="s">
        <v>59</v>
      </c>
      <c r="E12" s="11" t="s">
        <v>60</v>
      </c>
      <c r="F12" s="11" t="s">
        <v>50</v>
      </c>
    </row>
    <row r="13" spans="1:6" x14ac:dyDescent="0.3">
      <c r="B13" s="15" t="str">
        <f>C13&amp;"&gt;"&amp;D13</f>
        <v>LB&gt;KG</v>
      </c>
      <c r="C13" s="12" t="s">
        <v>61</v>
      </c>
      <c r="D13" s="12" t="s">
        <v>62</v>
      </c>
      <c r="E13" s="16">
        <v>0.45359237000000002</v>
      </c>
      <c r="F13" s="14" t="s">
        <v>63</v>
      </c>
    </row>
    <row r="14" spans="1:6" x14ac:dyDescent="0.3">
      <c r="B14" s="15" t="str">
        <f>C14&amp;"&gt;"&amp;D14</f>
        <v>G&gt;KG</v>
      </c>
      <c r="C14" s="12" t="s">
        <v>64</v>
      </c>
      <c r="D14" s="12" t="s">
        <v>62</v>
      </c>
      <c r="E14" s="16">
        <v>1E-3</v>
      </c>
      <c r="F14" s="14" t="s">
        <v>65</v>
      </c>
    </row>
    <row r="15" spans="1:6" x14ac:dyDescent="0.3">
      <c r="B15" s="15" t="str">
        <f>C15&amp;"&gt;"&amp;D15</f>
        <v>KG&gt;T</v>
      </c>
      <c r="C15" s="12" t="s">
        <v>62</v>
      </c>
      <c r="D15" s="12" t="s">
        <v>66</v>
      </c>
      <c r="E15" s="16">
        <v>1E-3</v>
      </c>
      <c r="F15" s="14" t="s">
        <v>67</v>
      </c>
    </row>
    <row r="18" spans="2:4" x14ac:dyDescent="0.3">
      <c r="B18" s="3" t="s">
        <v>68</v>
      </c>
    </row>
    <row r="19" spans="2:4" x14ac:dyDescent="0.3">
      <c r="B19" s="15" t="s">
        <v>69</v>
      </c>
      <c r="C19" s="17" t="s">
        <v>70</v>
      </c>
      <c r="D19" s="14" t="s">
        <v>71</v>
      </c>
    </row>
    <row r="20" spans="2:4" x14ac:dyDescent="0.3">
      <c r="B20" s="15" t="s">
        <v>72</v>
      </c>
      <c r="C20" s="18">
        <v>0.2</v>
      </c>
      <c r="D20" s="14" t="s">
        <v>73</v>
      </c>
    </row>
    <row r="21" spans="2:4" x14ac:dyDescent="0.3">
      <c r="B21" s="15" t="s">
        <v>74</v>
      </c>
      <c r="C21" s="19">
        <v>30</v>
      </c>
      <c r="D21" s="14" t="s">
        <v>75</v>
      </c>
    </row>
    <row r="24" spans="2:4" x14ac:dyDescent="0.3">
      <c r="B24" s="3" t="s">
        <v>76</v>
      </c>
    </row>
    <row r="25" spans="2:4" x14ac:dyDescent="0.3">
      <c r="B25" s="3" t="s">
        <v>77</v>
      </c>
      <c r="C25" s="5" t="s">
        <v>78</v>
      </c>
    </row>
    <row r="26" spans="2:4" x14ac:dyDescent="0.3">
      <c r="B26" s="3" t="s">
        <v>79</v>
      </c>
      <c r="C26" s="5" t="s">
        <v>80</v>
      </c>
    </row>
    <row r="27" spans="2:4" x14ac:dyDescent="0.3">
      <c r="B27" s="3" t="s">
        <v>81</v>
      </c>
      <c r="C27" s="5" t="s">
        <v>82</v>
      </c>
    </row>
    <row r="28" spans="2:4" x14ac:dyDescent="0.3">
      <c r="B28" s="3" t="s">
        <v>83</v>
      </c>
      <c r="C28" s="5" t="s">
        <v>84</v>
      </c>
    </row>
    <row r="29" spans="2:4" x14ac:dyDescent="0.3">
      <c r="B29" s="3" t="s">
        <v>85</v>
      </c>
      <c r="C29" s="5" t="s">
        <v>86</v>
      </c>
    </row>
    <row r="30" spans="2:4" x14ac:dyDescent="0.3">
      <c r="B30" s="3" t="s">
        <v>87</v>
      </c>
      <c r="C30" s="5" t="s">
        <v>88</v>
      </c>
    </row>
    <row r="31" spans="2:4" x14ac:dyDescent="0.3">
      <c r="B31" s="3" t="s">
        <v>89</v>
      </c>
      <c r="C31" s="5" t="s">
        <v>90</v>
      </c>
    </row>
    <row r="32" spans="2:4" x14ac:dyDescent="0.3">
      <c r="B32" s="3" t="s">
        <v>91</v>
      </c>
      <c r="C32" s="5" t="s">
        <v>92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A5F"/>
    <pageSetUpPr fitToPage="1"/>
  </sheetPr>
  <dimension ref="A1:J1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14" customWidth="1"/>
    <col min="2" max="2" width="42" customWidth="1"/>
    <col min="3" max="3" width="13" customWidth="1"/>
    <col min="4" max="4" width="6" customWidth="1"/>
    <col min="5" max="5" width="10" customWidth="1"/>
    <col min="6" max="6" width="13" customWidth="1"/>
    <col min="7" max="8" width="14" customWidth="1"/>
    <col min="9" max="9" width="30" customWidth="1"/>
    <col min="10" max="10" width="9" customWidth="1"/>
  </cols>
  <sheetData>
    <row r="1" spans="1:10" ht="30" customHeight="1" x14ac:dyDescent="0.3">
      <c r="A1" s="20" t="s">
        <v>93</v>
      </c>
      <c r="B1" s="20" t="s">
        <v>94</v>
      </c>
      <c r="C1" s="20" t="s">
        <v>95</v>
      </c>
      <c r="D1" s="20" t="s">
        <v>96</v>
      </c>
      <c r="E1" s="20" t="s">
        <v>97</v>
      </c>
      <c r="F1" s="20" t="s">
        <v>98</v>
      </c>
      <c r="G1" s="20" t="s">
        <v>99</v>
      </c>
      <c r="H1" s="21" t="s">
        <v>100</v>
      </c>
      <c r="I1" s="21" t="s">
        <v>101</v>
      </c>
      <c r="J1" s="21" t="s">
        <v>102</v>
      </c>
    </row>
    <row r="2" spans="1:10" x14ac:dyDescent="0.3">
      <c r="A2" s="12" t="s">
        <v>103</v>
      </c>
      <c r="B2" s="12" t="s">
        <v>104</v>
      </c>
      <c r="C2" s="12" t="s">
        <v>105</v>
      </c>
      <c r="D2" s="12" t="s">
        <v>106</v>
      </c>
      <c r="E2" s="12" t="s">
        <v>107</v>
      </c>
      <c r="F2" s="22">
        <v>640</v>
      </c>
      <c r="G2" s="22">
        <v>310</v>
      </c>
      <c r="H2" s="15" t="str">
        <f t="shared" ref="H2:H13" si="0">UPPER(TRIM(A2))</f>
        <v>PC-RCP-0600</v>
      </c>
      <c r="I2" s="15" t="str">
        <f t="shared" ref="I2:I13" si="1">IF(OR(E2="",LEN(E2)&lt;&gt;7,MID(E2,5,1)&lt;&gt;"."),"HS code missing/format; ","")&amp;IF(COUNTIF($H$2:$H$500,H2)&gt;1,"Duplicate item; ","")</f>
        <v/>
      </c>
      <c r="J2" s="15" t="str">
        <f t="shared" ref="J2:J13" si="2">IF(I2="","OK","CHECK")</f>
        <v>OK</v>
      </c>
    </row>
    <row r="3" spans="1:10" x14ac:dyDescent="0.3">
      <c r="A3" s="12" t="s">
        <v>108</v>
      </c>
      <c r="B3" s="12" t="s">
        <v>109</v>
      </c>
      <c r="C3" s="12" t="s">
        <v>105</v>
      </c>
      <c r="D3" s="12" t="s">
        <v>106</v>
      </c>
      <c r="E3" s="12" t="s">
        <v>107</v>
      </c>
      <c r="F3" s="22">
        <v>1150</v>
      </c>
      <c r="G3" s="22">
        <v>540</v>
      </c>
      <c r="H3" s="15" t="str">
        <f t="shared" si="0"/>
        <v>PC-RCP-0900</v>
      </c>
      <c r="I3" s="15" t="str">
        <f t="shared" si="1"/>
        <v/>
      </c>
      <c r="J3" s="15" t="str">
        <f t="shared" si="2"/>
        <v>OK</v>
      </c>
    </row>
    <row r="4" spans="1:10" x14ac:dyDescent="0.3">
      <c r="A4" s="12" t="s">
        <v>110</v>
      </c>
      <c r="B4" s="12" t="s">
        <v>111</v>
      </c>
      <c r="C4" s="12" t="s">
        <v>105</v>
      </c>
      <c r="D4" s="12" t="s">
        <v>106</v>
      </c>
      <c r="E4" s="12" t="s">
        <v>107</v>
      </c>
      <c r="F4" s="22">
        <v>1890</v>
      </c>
      <c r="G4" s="22">
        <v>860</v>
      </c>
      <c r="H4" s="15" t="str">
        <f t="shared" si="0"/>
        <v>PC-RCP-1200</v>
      </c>
      <c r="I4" s="15" t="str">
        <f t="shared" si="1"/>
        <v/>
      </c>
      <c r="J4" s="15" t="str">
        <f t="shared" si="2"/>
        <v>OK</v>
      </c>
    </row>
    <row r="5" spans="1:10" x14ac:dyDescent="0.3">
      <c r="A5" s="12" t="s">
        <v>112</v>
      </c>
      <c r="B5" s="12" t="s">
        <v>113</v>
      </c>
      <c r="C5" s="12" t="s">
        <v>114</v>
      </c>
      <c r="D5" s="12" t="s">
        <v>106</v>
      </c>
      <c r="E5" s="12" t="s">
        <v>107</v>
      </c>
      <c r="F5" s="22">
        <v>4200</v>
      </c>
      <c r="G5" s="22">
        <v>1950</v>
      </c>
      <c r="H5" s="15" t="str">
        <f t="shared" si="0"/>
        <v>PC-BOX-1812</v>
      </c>
      <c r="I5" s="15" t="str">
        <f t="shared" si="1"/>
        <v/>
      </c>
      <c r="J5" s="15" t="str">
        <f t="shared" si="2"/>
        <v>OK</v>
      </c>
    </row>
    <row r="6" spans="1:10" x14ac:dyDescent="0.3">
      <c r="A6" s="12" t="s">
        <v>115</v>
      </c>
      <c r="B6" s="12" t="s">
        <v>116</v>
      </c>
      <c r="C6" s="12" t="s">
        <v>117</v>
      </c>
      <c r="D6" s="12" t="s">
        <v>106</v>
      </c>
      <c r="E6" s="12" t="s">
        <v>107</v>
      </c>
      <c r="F6" s="22">
        <v>980</v>
      </c>
      <c r="G6" s="22">
        <v>470</v>
      </c>
      <c r="H6" s="15" t="str">
        <f t="shared" si="0"/>
        <v>PC-MH-1050B</v>
      </c>
      <c r="I6" s="15" t="str">
        <f t="shared" si="1"/>
        <v/>
      </c>
      <c r="J6" s="15" t="str">
        <f t="shared" si="2"/>
        <v>OK</v>
      </c>
    </row>
    <row r="7" spans="1:10" x14ac:dyDescent="0.3">
      <c r="A7" s="12" t="s">
        <v>118</v>
      </c>
      <c r="B7" s="12" t="s">
        <v>119</v>
      </c>
      <c r="C7" s="12" t="s">
        <v>117</v>
      </c>
      <c r="D7" s="12" t="s">
        <v>106</v>
      </c>
      <c r="E7" s="12" t="s">
        <v>107</v>
      </c>
      <c r="F7" s="22">
        <v>1240</v>
      </c>
      <c r="G7" s="22">
        <v>600</v>
      </c>
      <c r="H7" s="15" t="str">
        <f t="shared" si="0"/>
        <v>PC-MH-1200B</v>
      </c>
      <c r="I7" s="15" t="str">
        <f t="shared" si="1"/>
        <v/>
      </c>
      <c r="J7" s="15" t="str">
        <f t="shared" si="2"/>
        <v>OK</v>
      </c>
    </row>
    <row r="8" spans="1:10" x14ac:dyDescent="0.3">
      <c r="A8" s="12" t="s">
        <v>120</v>
      </c>
      <c r="B8" s="12" t="s">
        <v>121</v>
      </c>
      <c r="C8" s="12" t="s">
        <v>117</v>
      </c>
      <c r="D8" s="12" t="s">
        <v>106</v>
      </c>
      <c r="E8" s="12" t="s">
        <v>107</v>
      </c>
      <c r="F8" s="22">
        <v>520</v>
      </c>
      <c r="G8" s="22">
        <v>300</v>
      </c>
      <c r="H8" s="15" t="str">
        <f t="shared" si="0"/>
        <v>PC-MH-1200R</v>
      </c>
      <c r="I8" s="15" t="str">
        <f t="shared" si="1"/>
        <v/>
      </c>
      <c r="J8" s="15" t="str">
        <f t="shared" si="2"/>
        <v>OK</v>
      </c>
    </row>
    <row r="9" spans="1:10" x14ac:dyDescent="0.3">
      <c r="A9" s="12" t="s">
        <v>122</v>
      </c>
      <c r="B9" s="12" t="s">
        <v>123</v>
      </c>
      <c r="C9" s="12" t="s">
        <v>124</v>
      </c>
      <c r="D9" s="12" t="s">
        <v>106</v>
      </c>
      <c r="E9" s="12" t="s">
        <v>107</v>
      </c>
      <c r="F9" s="22">
        <v>690</v>
      </c>
      <c r="G9" s="22">
        <v>170</v>
      </c>
      <c r="H9" s="15" t="str">
        <f t="shared" si="0"/>
        <v>PC-CB-0600</v>
      </c>
      <c r="I9" s="15" t="str">
        <f t="shared" si="1"/>
        <v/>
      </c>
      <c r="J9" s="15" t="str">
        <f t="shared" si="2"/>
        <v>OK</v>
      </c>
    </row>
    <row r="10" spans="1:10" x14ac:dyDescent="0.3">
      <c r="A10" s="12" t="s">
        <v>125</v>
      </c>
      <c r="B10" s="12" t="s">
        <v>126</v>
      </c>
      <c r="C10" s="12" t="s">
        <v>127</v>
      </c>
      <c r="D10" s="12" t="s">
        <v>106</v>
      </c>
      <c r="E10" s="12" t="s">
        <v>128</v>
      </c>
      <c r="F10" s="22">
        <v>1450</v>
      </c>
      <c r="G10" s="22">
        <v>650</v>
      </c>
      <c r="H10" s="15" t="str">
        <f t="shared" si="0"/>
        <v>PC-BAR-F38</v>
      </c>
      <c r="I10" s="15" t="str">
        <f t="shared" si="1"/>
        <v/>
      </c>
      <c r="J10" s="15" t="str">
        <f t="shared" si="2"/>
        <v>OK</v>
      </c>
    </row>
    <row r="11" spans="1:10" x14ac:dyDescent="0.3">
      <c r="A11" s="12" t="s">
        <v>129</v>
      </c>
      <c r="B11" s="12" t="s">
        <v>130</v>
      </c>
      <c r="C11" s="12" t="s">
        <v>127</v>
      </c>
      <c r="D11" s="12" t="s">
        <v>106</v>
      </c>
      <c r="E11" s="12" t="s">
        <v>128</v>
      </c>
      <c r="F11" s="22">
        <v>2350</v>
      </c>
      <c r="G11" s="22">
        <v>980</v>
      </c>
      <c r="H11" s="15" t="str">
        <f t="shared" si="0"/>
        <v>PC-BAR-SS60</v>
      </c>
      <c r="I11" s="15" t="str">
        <f t="shared" si="1"/>
        <v/>
      </c>
      <c r="J11" s="15" t="str">
        <f t="shared" si="2"/>
        <v>OK</v>
      </c>
    </row>
    <row r="12" spans="1:10" x14ac:dyDescent="0.3">
      <c r="A12" s="12" t="s">
        <v>131</v>
      </c>
      <c r="B12" s="12" t="s">
        <v>132</v>
      </c>
      <c r="C12" s="12" t="s">
        <v>133</v>
      </c>
      <c r="D12" s="12" t="s">
        <v>134</v>
      </c>
      <c r="E12" s="12" t="s">
        <v>107</v>
      </c>
      <c r="F12" s="22">
        <v>118</v>
      </c>
      <c r="G12" s="22">
        <v>52</v>
      </c>
      <c r="H12" s="15" t="str">
        <f t="shared" si="0"/>
        <v>PC-HC-200</v>
      </c>
      <c r="I12" s="15" t="str">
        <f t="shared" si="1"/>
        <v/>
      </c>
      <c r="J12" s="15" t="str">
        <f t="shared" si="2"/>
        <v>OK</v>
      </c>
    </row>
    <row r="13" spans="1:10" x14ac:dyDescent="0.3">
      <c r="A13" s="12" t="s">
        <v>135</v>
      </c>
      <c r="B13" s="12" t="s">
        <v>136</v>
      </c>
      <c r="C13" s="12" t="s">
        <v>133</v>
      </c>
      <c r="D13" s="12" t="s">
        <v>134</v>
      </c>
      <c r="E13" s="12"/>
      <c r="F13" s="22">
        <v>136</v>
      </c>
      <c r="G13" s="22">
        <v>60</v>
      </c>
      <c r="H13" s="15" t="str">
        <f t="shared" si="0"/>
        <v>PC-HC-250</v>
      </c>
      <c r="I13" s="15" t="str">
        <f t="shared" si="1"/>
        <v xml:space="preserve">HS code missing/format; </v>
      </c>
      <c r="J13" s="15" t="str">
        <f t="shared" si="2"/>
        <v>CHECK</v>
      </c>
    </row>
  </sheetData>
  <autoFilter ref="A1:J13" xr:uid="{00000000-0009-0000-0000-000002000000}"/>
  <conditionalFormatting sqref="J2:J13">
    <cfRule type="cellIs" dxfId="16" priority="2" operator="equal">
      <formula>"CHECK"</formula>
    </cfRule>
    <cfRule type="cellIs" dxfId="15" priority="3" operator="equal">
      <formula>"OK"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A5F"/>
    <pageSetUpPr fitToPage="1"/>
  </sheetPr>
  <dimension ref="A1:F1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12" customWidth="1"/>
    <col min="2" max="2" width="28" customWidth="1"/>
    <col min="3" max="4" width="9" customWidth="1"/>
    <col min="5" max="5" width="13" customWidth="1"/>
    <col min="6" max="6" width="16" customWidth="1"/>
  </cols>
  <sheetData>
    <row r="1" spans="1:6" ht="30" customHeight="1" x14ac:dyDescent="0.3">
      <c r="A1" s="20" t="s">
        <v>137</v>
      </c>
      <c r="B1" s="20" t="s">
        <v>138</v>
      </c>
      <c r="C1" s="20" t="s">
        <v>139</v>
      </c>
      <c r="D1" s="20" t="s">
        <v>140</v>
      </c>
      <c r="E1" s="20" t="s">
        <v>141</v>
      </c>
      <c r="F1" s="21" t="s">
        <v>142</v>
      </c>
    </row>
    <row r="2" spans="1:6" x14ac:dyDescent="0.3">
      <c r="A2" s="12" t="s">
        <v>143</v>
      </c>
      <c r="B2" s="12" t="s">
        <v>144</v>
      </c>
      <c r="C2" s="12" t="s">
        <v>70</v>
      </c>
      <c r="D2" s="12" t="s">
        <v>51</v>
      </c>
      <c r="E2" s="23">
        <v>7</v>
      </c>
      <c r="F2" s="15" t="str">
        <f t="shared" ref="F2:F12" si="0">IF(E2&gt;Lead_Time_Flag,"Long lead time","")</f>
        <v/>
      </c>
    </row>
    <row r="3" spans="1:6" x14ac:dyDescent="0.3">
      <c r="A3" s="12" t="s">
        <v>145</v>
      </c>
      <c r="B3" s="12" t="s">
        <v>146</v>
      </c>
      <c r="C3" s="12" t="s">
        <v>147</v>
      </c>
      <c r="D3" s="12" t="s">
        <v>53</v>
      </c>
      <c r="E3" s="23">
        <v>14</v>
      </c>
      <c r="F3" s="15" t="str">
        <f t="shared" si="0"/>
        <v/>
      </c>
    </row>
    <row r="4" spans="1:6" x14ac:dyDescent="0.3">
      <c r="A4" s="12" t="s">
        <v>148</v>
      </c>
      <c r="B4" s="12" t="s">
        <v>149</v>
      </c>
      <c r="C4" s="12" t="s">
        <v>70</v>
      </c>
      <c r="D4" s="12" t="s">
        <v>51</v>
      </c>
      <c r="E4" s="23">
        <v>3</v>
      </c>
      <c r="F4" s="15" t="str">
        <f t="shared" si="0"/>
        <v/>
      </c>
    </row>
    <row r="5" spans="1:6" x14ac:dyDescent="0.3">
      <c r="A5" s="12" t="s">
        <v>150</v>
      </c>
      <c r="B5" s="12" t="s">
        <v>151</v>
      </c>
      <c r="C5" s="12" t="s">
        <v>147</v>
      </c>
      <c r="D5" s="12" t="s">
        <v>53</v>
      </c>
      <c r="E5" s="23">
        <v>10</v>
      </c>
      <c r="F5" s="15" t="str">
        <f t="shared" si="0"/>
        <v/>
      </c>
    </row>
    <row r="6" spans="1:6" x14ac:dyDescent="0.3">
      <c r="A6" s="12" t="s">
        <v>152</v>
      </c>
      <c r="B6" s="12" t="s">
        <v>153</v>
      </c>
      <c r="C6" s="12" t="s">
        <v>70</v>
      </c>
      <c r="D6" s="12" t="s">
        <v>51</v>
      </c>
      <c r="E6" s="23">
        <v>10</v>
      </c>
      <c r="F6" s="15" t="str">
        <f t="shared" si="0"/>
        <v/>
      </c>
    </row>
    <row r="7" spans="1:6" x14ac:dyDescent="0.3">
      <c r="A7" s="12" t="s">
        <v>154</v>
      </c>
      <c r="B7" s="12" t="s">
        <v>155</v>
      </c>
      <c r="C7" s="12" t="s">
        <v>156</v>
      </c>
      <c r="D7" s="12" t="s">
        <v>53</v>
      </c>
      <c r="E7" s="23">
        <v>60</v>
      </c>
      <c r="F7" s="15" t="str">
        <f t="shared" si="0"/>
        <v>Long lead time</v>
      </c>
    </row>
    <row r="8" spans="1:6" x14ac:dyDescent="0.3">
      <c r="A8" s="12" t="s">
        <v>157</v>
      </c>
      <c r="B8" s="12" t="s">
        <v>158</v>
      </c>
      <c r="C8" s="12" t="s">
        <v>147</v>
      </c>
      <c r="D8" s="12" t="s">
        <v>53</v>
      </c>
      <c r="E8" s="23">
        <v>14</v>
      </c>
      <c r="F8" s="15" t="str">
        <f t="shared" si="0"/>
        <v/>
      </c>
    </row>
    <row r="9" spans="1:6" x14ac:dyDescent="0.3">
      <c r="A9" s="12" t="s">
        <v>159</v>
      </c>
      <c r="B9" s="12" t="s">
        <v>160</v>
      </c>
      <c r="C9" s="12" t="s">
        <v>161</v>
      </c>
      <c r="D9" s="12" t="s">
        <v>53</v>
      </c>
      <c r="E9" s="23">
        <v>55</v>
      </c>
      <c r="F9" s="15" t="str">
        <f t="shared" si="0"/>
        <v>Long lead time</v>
      </c>
    </row>
    <row r="10" spans="1:6" x14ac:dyDescent="0.3">
      <c r="A10" s="12" t="s">
        <v>162</v>
      </c>
      <c r="B10" s="12" t="s">
        <v>163</v>
      </c>
      <c r="C10" s="12" t="s">
        <v>164</v>
      </c>
      <c r="D10" s="12" t="s">
        <v>53</v>
      </c>
      <c r="E10" s="23">
        <v>21</v>
      </c>
      <c r="F10" s="15" t="str">
        <f t="shared" si="0"/>
        <v/>
      </c>
    </row>
    <row r="11" spans="1:6" x14ac:dyDescent="0.3">
      <c r="A11" s="12" t="s">
        <v>165</v>
      </c>
      <c r="B11" s="12" t="s">
        <v>166</v>
      </c>
      <c r="C11" s="12" t="s">
        <v>167</v>
      </c>
      <c r="D11" s="12" t="s">
        <v>55</v>
      </c>
      <c r="E11" s="23">
        <v>45</v>
      </c>
      <c r="F11" s="15" t="str">
        <f t="shared" si="0"/>
        <v>Long lead time</v>
      </c>
    </row>
    <row r="12" spans="1:6" x14ac:dyDescent="0.3">
      <c r="A12" s="12" t="s">
        <v>168</v>
      </c>
      <c r="B12" s="12" t="s">
        <v>169</v>
      </c>
      <c r="C12" s="12" t="s">
        <v>70</v>
      </c>
      <c r="D12" s="12" t="s">
        <v>51</v>
      </c>
      <c r="E12" s="23">
        <v>5</v>
      </c>
      <c r="F12" s="15" t="str">
        <f t="shared" si="0"/>
        <v/>
      </c>
    </row>
  </sheetData>
  <autoFilter ref="A1:F12" xr:uid="{00000000-0009-0000-0000-000003000000}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A5F"/>
    <pageSetUpPr fitToPage="1"/>
  </sheetPr>
  <dimension ref="A1:N2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11" customWidth="1"/>
    <col min="2" max="2" width="34" customWidth="1"/>
    <col min="3" max="3" width="6" customWidth="1"/>
    <col min="4" max="4" width="10" customWidth="1"/>
    <col min="5" max="5" width="9" customWidth="1"/>
    <col min="6" max="6" width="11" customWidth="1"/>
    <col min="7" max="8" width="10" customWidth="1"/>
    <col min="9" max="9" width="11" customWidth="1"/>
    <col min="10" max="10" width="12" customWidth="1"/>
    <col min="11" max="11" width="26" customWidth="1"/>
    <col min="12" max="12" width="9" customWidth="1"/>
    <col min="13" max="13" width="40" customWidth="1"/>
    <col min="14" max="14" width="9" customWidth="1"/>
  </cols>
  <sheetData>
    <row r="1" spans="1:14" ht="30" customHeight="1" x14ac:dyDescent="0.3">
      <c r="A1" s="20" t="s">
        <v>170</v>
      </c>
      <c r="B1" s="20" t="s">
        <v>94</v>
      </c>
      <c r="C1" s="20" t="s">
        <v>96</v>
      </c>
      <c r="D1" s="20" t="s">
        <v>171</v>
      </c>
      <c r="E1" s="20" t="s">
        <v>140</v>
      </c>
      <c r="F1" s="20" t="s">
        <v>137</v>
      </c>
      <c r="G1" s="20" t="s">
        <v>172</v>
      </c>
      <c r="H1" s="20" t="s">
        <v>97</v>
      </c>
      <c r="I1" s="21" t="s">
        <v>173</v>
      </c>
      <c r="J1" s="21" t="s">
        <v>174</v>
      </c>
      <c r="K1" s="21" t="s">
        <v>138</v>
      </c>
      <c r="L1" s="21" t="s">
        <v>175</v>
      </c>
      <c r="M1" s="21" t="s">
        <v>101</v>
      </c>
      <c r="N1" s="21" t="s">
        <v>102</v>
      </c>
    </row>
    <row r="2" spans="1:14" x14ac:dyDescent="0.3">
      <c r="A2" s="12" t="s">
        <v>176</v>
      </c>
      <c r="B2" s="12" t="s">
        <v>177</v>
      </c>
      <c r="C2" s="12" t="s">
        <v>66</v>
      </c>
      <c r="D2" s="22">
        <v>235</v>
      </c>
      <c r="E2" s="12" t="s">
        <v>51</v>
      </c>
      <c r="F2" s="12" t="s">
        <v>143</v>
      </c>
      <c r="G2" s="12" t="s">
        <v>70</v>
      </c>
      <c r="H2" s="12" t="s">
        <v>178</v>
      </c>
      <c r="I2" s="15" t="str">
        <f t="shared" ref="I2:I20" si="0">UPPER(TRIM(A2))</f>
        <v>CMT-GU</v>
      </c>
      <c r="J2" s="24">
        <f t="shared" ref="J2:J20" si="1">IF(D2="","",IFERROR(D2*INDEX(FX_Rate,MATCH(E2,FX_Currency,0)),"NO FX RATE"))</f>
        <v>235</v>
      </c>
      <c r="K2" s="15" t="str">
        <f>IFERROR(INDEX(Suppliers!$B$2:$B$500,MATCH(F2,Suppliers!$A$2:$A$500,0)),"NOT FOUND")</f>
        <v>Prairie Cement Co.</v>
      </c>
      <c r="L2" s="15">
        <f t="shared" ref="L2:L20" si="2">COUNTIF($I$2:$I$500,I2)</f>
        <v>1</v>
      </c>
      <c r="M2" s="15" t="str">
        <f t="shared" ref="M2:M20" si="3">IF(D2="","Missing cost; ","")&amp;IF(G2="","Missing origin; ","")&amp;IF(K2="NOT FOUND","Unknown supplier; ","")&amp;IF(L2&gt;1,"Duplicate code; ","")&amp;IF(OR(H2="",LEN(H2)&lt;&gt;7,MID(H2,5,1)&lt;&gt;"."),"HS code format; ","")&amp;IF(J2="NO FX RATE","No FX rate; ","")</f>
        <v/>
      </c>
      <c r="N2" s="15" t="str">
        <f t="shared" ref="N2:N20" si="4">IF(M2="","OK","CHECK")</f>
        <v>OK</v>
      </c>
    </row>
    <row r="3" spans="1:14" x14ac:dyDescent="0.3">
      <c r="A3" s="12" t="s">
        <v>179</v>
      </c>
      <c r="B3" s="12" t="s">
        <v>180</v>
      </c>
      <c r="C3" s="12" t="s">
        <v>66</v>
      </c>
      <c r="D3" s="22">
        <v>72</v>
      </c>
      <c r="E3" s="12" t="s">
        <v>53</v>
      </c>
      <c r="F3" s="12" t="s">
        <v>145</v>
      </c>
      <c r="G3" s="12" t="s">
        <v>147</v>
      </c>
      <c r="H3" s="12" t="s">
        <v>181</v>
      </c>
      <c r="I3" s="15" t="str">
        <f t="shared" si="0"/>
        <v>SCM-FA</v>
      </c>
      <c r="J3" s="24">
        <f t="shared" si="1"/>
        <v>98.640000000000015</v>
      </c>
      <c r="K3" s="15" t="str">
        <f>IFERROR(INDEX(Suppliers!$B$2:$B$500,MATCH(F3,Suppliers!$A$2:$A$500,0)),"NOT FOUND")</f>
        <v>Great Plains Ash Inc.</v>
      </c>
      <c r="L3" s="15">
        <f t="shared" si="2"/>
        <v>1</v>
      </c>
      <c r="M3" s="15" t="str">
        <f t="shared" si="3"/>
        <v/>
      </c>
      <c r="N3" s="15" t="str">
        <f t="shared" si="4"/>
        <v>OK</v>
      </c>
    </row>
    <row r="4" spans="1:14" x14ac:dyDescent="0.3">
      <c r="A4" s="12" t="s">
        <v>182</v>
      </c>
      <c r="B4" s="12" t="s">
        <v>183</v>
      </c>
      <c r="C4" s="12" t="s">
        <v>66</v>
      </c>
      <c r="D4" s="22">
        <v>28</v>
      </c>
      <c r="E4" s="12" t="s">
        <v>51</v>
      </c>
      <c r="F4" s="12" t="s">
        <v>148</v>
      </c>
      <c r="G4" s="12" t="s">
        <v>70</v>
      </c>
      <c r="H4" s="12" t="s">
        <v>184</v>
      </c>
      <c r="I4" s="15" t="str">
        <f t="shared" si="0"/>
        <v>AGG-20</v>
      </c>
      <c r="J4" s="24">
        <f t="shared" si="1"/>
        <v>28</v>
      </c>
      <c r="K4" s="15" t="str">
        <f>IFERROR(INDEX(Suppliers!$B$2:$B$500,MATCH(F4,Suppliers!$A$2:$A$500,0)),"NOT FOUND")</f>
        <v>Red Valley Aggregates</v>
      </c>
      <c r="L4" s="15">
        <f t="shared" si="2"/>
        <v>1</v>
      </c>
      <c r="M4" s="15" t="str">
        <f t="shared" si="3"/>
        <v/>
      </c>
      <c r="N4" s="15" t="str">
        <f t="shared" si="4"/>
        <v>OK</v>
      </c>
    </row>
    <row r="5" spans="1:14" x14ac:dyDescent="0.3">
      <c r="A5" s="12" t="s">
        <v>185</v>
      </c>
      <c r="B5" s="12" t="s">
        <v>186</v>
      </c>
      <c r="C5" s="12" t="s">
        <v>66</v>
      </c>
      <c r="D5" s="22">
        <v>24</v>
      </c>
      <c r="E5" s="12" t="s">
        <v>51</v>
      </c>
      <c r="F5" s="12" t="s">
        <v>148</v>
      </c>
      <c r="G5" s="12" t="s">
        <v>70</v>
      </c>
      <c r="H5" s="12" t="s">
        <v>187</v>
      </c>
      <c r="I5" s="15" t="str">
        <f t="shared" si="0"/>
        <v>AGG-SND</v>
      </c>
      <c r="J5" s="24">
        <f t="shared" si="1"/>
        <v>24</v>
      </c>
      <c r="K5" s="15" t="str">
        <f>IFERROR(INDEX(Suppliers!$B$2:$B$500,MATCH(F5,Suppliers!$A$2:$A$500,0)),"NOT FOUND")</f>
        <v>Red Valley Aggregates</v>
      </c>
      <c r="L5" s="15">
        <f t="shared" si="2"/>
        <v>1</v>
      </c>
      <c r="M5" s="15" t="str">
        <f t="shared" si="3"/>
        <v/>
      </c>
      <c r="N5" s="15" t="str">
        <f t="shared" si="4"/>
        <v>OK</v>
      </c>
    </row>
    <row r="6" spans="1:14" x14ac:dyDescent="0.3">
      <c r="A6" s="12" t="s">
        <v>188</v>
      </c>
      <c r="B6" s="12" t="s">
        <v>189</v>
      </c>
      <c r="C6" s="12" t="s">
        <v>190</v>
      </c>
      <c r="D6" s="22">
        <v>3.1</v>
      </c>
      <c r="E6" s="12" t="s">
        <v>53</v>
      </c>
      <c r="F6" s="12" t="s">
        <v>150</v>
      </c>
      <c r="G6" s="12" t="s">
        <v>147</v>
      </c>
      <c r="H6" s="12" t="s">
        <v>191</v>
      </c>
      <c r="I6" s="15" t="str">
        <f t="shared" si="0"/>
        <v>ADM-SP</v>
      </c>
      <c r="J6" s="24">
        <f t="shared" si="1"/>
        <v>4.2470000000000008</v>
      </c>
      <c r="K6" s="15" t="str">
        <f>IFERROR(INDEX(Suppliers!$B$2:$B$500,MATCH(F6,Suppliers!$A$2:$A$500,0)),"NOT FOUND")</f>
        <v>Midwest Admix Solutions</v>
      </c>
      <c r="L6" s="15">
        <f t="shared" si="2"/>
        <v>1</v>
      </c>
      <c r="M6" s="15" t="str">
        <f t="shared" si="3"/>
        <v/>
      </c>
      <c r="N6" s="15" t="str">
        <f t="shared" si="4"/>
        <v>OK</v>
      </c>
    </row>
    <row r="7" spans="1:14" x14ac:dyDescent="0.3">
      <c r="A7" s="12" t="s">
        <v>192</v>
      </c>
      <c r="B7" s="12" t="s">
        <v>193</v>
      </c>
      <c r="C7" s="12" t="s">
        <v>190</v>
      </c>
      <c r="D7" s="22">
        <v>2.4</v>
      </c>
      <c r="E7" s="12" t="s">
        <v>53</v>
      </c>
      <c r="F7" s="12" t="s">
        <v>150</v>
      </c>
      <c r="G7" s="12" t="s">
        <v>147</v>
      </c>
      <c r="H7" s="12" t="s">
        <v>194</v>
      </c>
      <c r="I7" s="15" t="str">
        <f t="shared" si="0"/>
        <v>ADM-AE</v>
      </c>
      <c r="J7" s="24">
        <f t="shared" si="1"/>
        <v>3.2880000000000003</v>
      </c>
      <c r="K7" s="15" t="str">
        <f>IFERROR(INDEX(Suppliers!$B$2:$B$500,MATCH(F7,Suppliers!$A$2:$A$500,0)),"NOT FOUND")</f>
        <v>Midwest Admix Solutions</v>
      </c>
      <c r="L7" s="15">
        <f t="shared" si="2"/>
        <v>1</v>
      </c>
      <c r="M7" s="15" t="str">
        <f t="shared" si="3"/>
        <v xml:space="preserve">HS code format; </v>
      </c>
      <c r="N7" s="15" t="str">
        <f t="shared" si="4"/>
        <v>CHECK</v>
      </c>
    </row>
    <row r="8" spans="1:14" x14ac:dyDescent="0.3">
      <c r="A8" s="12" t="s">
        <v>195</v>
      </c>
      <c r="B8" s="12" t="s">
        <v>196</v>
      </c>
      <c r="C8" s="12" t="s">
        <v>62</v>
      </c>
      <c r="D8" s="22">
        <v>1.38</v>
      </c>
      <c r="E8" s="12" t="s">
        <v>51</v>
      </c>
      <c r="F8" s="12" t="s">
        <v>152</v>
      </c>
      <c r="G8" s="12" t="s">
        <v>70</v>
      </c>
      <c r="H8" s="12" t="s">
        <v>197</v>
      </c>
      <c r="I8" s="15" t="str">
        <f t="shared" si="0"/>
        <v>RB-10M</v>
      </c>
      <c r="J8" s="24">
        <f t="shared" si="1"/>
        <v>1.38</v>
      </c>
      <c r="K8" s="15" t="str">
        <f>IFERROR(INDEX(Suppliers!$B$2:$B$500,MATCH(F8,Suppliers!$A$2:$A$500,0)),"NOT FOUND")</f>
        <v>Northern Rebar Mills</v>
      </c>
      <c r="L8" s="15">
        <f t="shared" si="2"/>
        <v>1</v>
      </c>
      <c r="M8" s="15" t="str">
        <f t="shared" si="3"/>
        <v/>
      </c>
      <c r="N8" s="15" t="str">
        <f t="shared" si="4"/>
        <v>OK</v>
      </c>
    </row>
    <row r="9" spans="1:14" x14ac:dyDescent="0.3">
      <c r="A9" s="12" t="s">
        <v>198</v>
      </c>
      <c r="B9" s="12" t="s">
        <v>199</v>
      </c>
      <c r="C9" s="12" t="s">
        <v>62</v>
      </c>
      <c r="D9" s="22">
        <v>1.31</v>
      </c>
      <c r="E9" s="12" t="s">
        <v>51</v>
      </c>
      <c r="F9" s="12" t="s">
        <v>152</v>
      </c>
      <c r="G9" s="12" t="s">
        <v>70</v>
      </c>
      <c r="H9" s="12" t="s">
        <v>197</v>
      </c>
      <c r="I9" s="15" t="str">
        <f t="shared" si="0"/>
        <v>RB-15M</v>
      </c>
      <c r="J9" s="24">
        <f t="shared" si="1"/>
        <v>1.31</v>
      </c>
      <c r="K9" s="15" t="str">
        <f>IFERROR(INDEX(Suppliers!$B$2:$B$500,MATCH(F9,Suppliers!$A$2:$A$500,0)),"NOT FOUND")</f>
        <v>Northern Rebar Mills</v>
      </c>
      <c r="L9" s="15">
        <f t="shared" si="2"/>
        <v>2</v>
      </c>
      <c r="M9" s="15" t="str">
        <f t="shared" si="3"/>
        <v xml:space="preserve">Duplicate code; </v>
      </c>
      <c r="N9" s="15" t="str">
        <f t="shared" si="4"/>
        <v>CHECK</v>
      </c>
    </row>
    <row r="10" spans="1:14" x14ac:dyDescent="0.3">
      <c r="A10" s="12" t="s">
        <v>200</v>
      </c>
      <c r="B10" s="12" t="s">
        <v>201</v>
      </c>
      <c r="C10" s="12" t="s">
        <v>62</v>
      </c>
      <c r="D10" s="22">
        <v>0.93</v>
      </c>
      <c r="E10" s="12" t="s">
        <v>53</v>
      </c>
      <c r="F10" s="12" t="s">
        <v>154</v>
      </c>
      <c r="G10" s="12" t="s">
        <v>156</v>
      </c>
      <c r="H10" s="12" t="s">
        <v>197</v>
      </c>
      <c r="I10" s="15" t="str">
        <f t="shared" si="0"/>
        <v>RB-20M</v>
      </c>
      <c r="J10" s="24">
        <f t="shared" si="1"/>
        <v>1.2741000000000002</v>
      </c>
      <c r="K10" s="15" t="str">
        <f>IFERROR(INDEX(Suppliers!$B$2:$B$500,MATCH(F10,Suppliers!$A$2:$A$500,0)),"NOT FOUND")</f>
        <v>Anatolia Steel Trading</v>
      </c>
      <c r="L10" s="15">
        <f t="shared" si="2"/>
        <v>1</v>
      </c>
      <c r="M10" s="15" t="str">
        <f t="shared" si="3"/>
        <v/>
      </c>
      <c r="N10" s="15" t="str">
        <f t="shared" si="4"/>
        <v>OK</v>
      </c>
    </row>
    <row r="11" spans="1:14" x14ac:dyDescent="0.3">
      <c r="A11" s="12" t="s">
        <v>202</v>
      </c>
      <c r="B11" s="12" t="s">
        <v>203</v>
      </c>
      <c r="C11" s="12" t="s">
        <v>134</v>
      </c>
      <c r="D11" s="22">
        <v>4.5999999999999996</v>
      </c>
      <c r="E11" s="12" t="s">
        <v>53</v>
      </c>
      <c r="F11" s="12" t="s">
        <v>157</v>
      </c>
      <c r="G11" s="12" t="s">
        <v>147</v>
      </c>
      <c r="H11" s="12" t="s">
        <v>204</v>
      </c>
      <c r="I11" s="15" t="str">
        <f t="shared" si="0"/>
        <v>WWM-152</v>
      </c>
      <c r="J11" s="24">
        <f t="shared" si="1"/>
        <v>6.3019999999999996</v>
      </c>
      <c r="K11" s="15" t="str">
        <f>IFERROR(INDEX(Suppliers!$B$2:$B$500,MATCH(F11,Suppliers!$A$2:$A$500,0)),"NOT FOUND")</f>
        <v>Lakeside Wire Products</v>
      </c>
      <c r="L11" s="15">
        <f t="shared" si="2"/>
        <v>1</v>
      </c>
      <c r="M11" s="15" t="str">
        <f t="shared" si="3"/>
        <v/>
      </c>
      <c r="N11" s="15" t="str">
        <f t="shared" si="4"/>
        <v>OK</v>
      </c>
    </row>
    <row r="12" spans="1:14" x14ac:dyDescent="0.3">
      <c r="A12" s="12" t="s">
        <v>205</v>
      </c>
      <c r="B12" s="12" t="s">
        <v>206</v>
      </c>
      <c r="C12" s="12" t="s">
        <v>62</v>
      </c>
      <c r="D12" s="22">
        <v>1.5</v>
      </c>
      <c r="E12" s="12" t="s">
        <v>53</v>
      </c>
      <c r="F12" s="12" t="s">
        <v>159</v>
      </c>
      <c r="G12" s="12" t="s">
        <v>161</v>
      </c>
      <c r="H12" s="12" t="s">
        <v>207</v>
      </c>
      <c r="I12" s="15" t="str">
        <f t="shared" si="0"/>
        <v>STR-127</v>
      </c>
      <c r="J12" s="24">
        <f t="shared" si="1"/>
        <v>2.0550000000000002</v>
      </c>
      <c r="K12" s="15" t="str">
        <f>IFERROR(INDEX(Suppliers!$B$2:$B$500,MATCH(F12,Suppliers!$A$2:$A$500,0)),"NOT FOUND")</f>
        <v>Hanbit Strand Co.</v>
      </c>
      <c r="L12" s="15">
        <f t="shared" si="2"/>
        <v>1</v>
      </c>
      <c r="M12" s="15" t="str">
        <f t="shared" si="3"/>
        <v/>
      </c>
      <c r="N12" s="15" t="str">
        <f t="shared" si="4"/>
        <v>OK</v>
      </c>
    </row>
    <row r="13" spans="1:14" x14ac:dyDescent="0.3">
      <c r="A13" s="12" t="s">
        <v>208</v>
      </c>
      <c r="B13" s="12" t="s">
        <v>209</v>
      </c>
      <c r="C13" s="12" t="s">
        <v>106</v>
      </c>
      <c r="D13" s="22">
        <v>18.5</v>
      </c>
      <c r="E13" s="12" t="s">
        <v>53</v>
      </c>
      <c r="F13" s="12" t="s">
        <v>162</v>
      </c>
      <c r="G13" s="12" t="s">
        <v>164</v>
      </c>
      <c r="H13" s="12" t="s">
        <v>210</v>
      </c>
      <c r="I13" s="15" t="str">
        <f t="shared" si="0"/>
        <v>GSK-0600</v>
      </c>
      <c r="J13" s="24">
        <f t="shared" si="1"/>
        <v>25.345000000000002</v>
      </c>
      <c r="K13" s="15" t="str">
        <f>IFERROR(INDEX(Suppliers!$B$2:$B$500,MATCH(F13,Suppliers!$A$2:$A$500,0)),"NOT FOUND")</f>
        <v>Sierra Rubber Works</v>
      </c>
      <c r="L13" s="15">
        <f t="shared" si="2"/>
        <v>1</v>
      </c>
      <c r="M13" s="15" t="str">
        <f t="shared" si="3"/>
        <v/>
      </c>
      <c r="N13" s="15" t="str">
        <f t="shared" si="4"/>
        <v>OK</v>
      </c>
    </row>
    <row r="14" spans="1:14" x14ac:dyDescent="0.3">
      <c r="A14" s="12" t="s">
        <v>211</v>
      </c>
      <c r="B14" s="12" t="s">
        <v>212</v>
      </c>
      <c r="C14" s="12" t="s">
        <v>106</v>
      </c>
      <c r="D14" s="22">
        <v>26</v>
      </c>
      <c r="E14" s="12" t="s">
        <v>53</v>
      </c>
      <c r="F14" s="12" t="s">
        <v>162</v>
      </c>
      <c r="G14" s="12" t="s">
        <v>164</v>
      </c>
      <c r="H14" s="12" t="s">
        <v>210</v>
      </c>
      <c r="I14" s="15" t="str">
        <f t="shared" si="0"/>
        <v>GSK-0900</v>
      </c>
      <c r="J14" s="24">
        <f t="shared" si="1"/>
        <v>35.620000000000005</v>
      </c>
      <c r="K14" s="15" t="str">
        <f>IFERROR(INDEX(Suppliers!$B$2:$B$500,MATCH(F14,Suppliers!$A$2:$A$500,0)),"NOT FOUND")</f>
        <v>Sierra Rubber Works</v>
      </c>
      <c r="L14" s="15">
        <f t="shared" si="2"/>
        <v>1</v>
      </c>
      <c r="M14" s="15" t="str">
        <f t="shared" si="3"/>
        <v/>
      </c>
      <c r="N14" s="15" t="str">
        <f t="shared" si="4"/>
        <v>OK</v>
      </c>
    </row>
    <row r="15" spans="1:14" x14ac:dyDescent="0.3">
      <c r="A15" s="12" t="s">
        <v>213</v>
      </c>
      <c r="B15" s="12" t="s">
        <v>214</v>
      </c>
      <c r="C15" s="12" t="s">
        <v>106</v>
      </c>
      <c r="D15" s="22">
        <v>34</v>
      </c>
      <c r="E15" s="12" t="s">
        <v>53</v>
      </c>
      <c r="F15" s="12" t="s">
        <v>162</v>
      </c>
      <c r="G15" s="12"/>
      <c r="H15" s="12" t="s">
        <v>210</v>
      </c>
      <c r="I15" s="15" t="str">
        <f t="shared" si="0"/>
        <v>GSK-1200</v>
      </c>
      <c r="J15" s="24">
        <f t="shared" si="1"/>
        <v>46.580000000000005</v>
      </c>
      <c r="K15" s="15" t="str">
        <f>IFERROR(INDEX(Suppliers!$B$2:$B$500,MATCH(F15,Suppliers!$A$2:$A$500,0)),"NOT FOUND")</f>
        <v>Sierra Rubber Works</v>
      </c>
      <c r="L15" s="15">
        <f t="shared" si="2"/>
        <v>1</v>
      </c>
      <c r="M15" s="15" t="str">
        <f t="shared" si="3"/>
        <v xml:space="preserve">Missing origin; </v>
      </c>
      <c r="N15" s="15" t="str">
        <f t="shared" si="4"/>
        <v>CHECK</v>
      </c>
    </row>
    <row r="16" spans="1:14" x14ac:dyDescent="0.3">
      <c r="A16" s="12" t="s">
        <v>215</v>
      </c>
      <c r="B16" s="12" t="s">
        <v>216</v>
      </c>
      <c r="C16" s="12" t="s">
        <v>106</v>
      </c>
      <c r="D16" s="22">
        <v>4.5999999999999996</v>
      </c>
      <c r="E16" s="12" t="s">
        <v>55</v>
      </c>
      <c r="F16" s="12" t="s">
        <v>165</v>
      </c>
      <c r="G16" s="12" t="s">
        <v>167</v>
      </c>
      <c r="H16" s="12" t="s">
        <v>217</v>
      </c>
      <c r="I16" s="15" t="str">
        <f t="shared" si="0"/>
        <v>LFT-ANC</v>
      </c>
      <c r="J16" s="24">
        <f t="shared" si="1"/>
        <v>6.8999999999999995</v>
      </c>
      <c r="K16" s="15" t="str">
        <f>IFERROR(INDEX(Suppliers!$B$2:$B$500,MATCH(F16,Suppliers!$A$2:$A$500,0)),"NOT FOUND")</f>
        <v>Rhein Lifting Systems</v>
      </c>
      <c r="L16" s="15">
        <f t="shared" si="2"/>
        <v>1</v>
      </c>
      <c r="M16" s="15" t="str">
        <f t="shared" si="3"/>
        <v/>
      </c>
      <c r="N16" s="15" t="str">
        <f t="shared" si="4"/>
        <v>OK</v>
      </c>
    </row>
    <row r="17" spans="1:14" x14ac:dyDescent="0.3">
      <c r="A17" s="12" t="s">
        <v>218</v>
      </c>
      <c r="B17" s="12" t="s">
        <v>219</v>
      </c>
      <c r="C17" s="12" t="s">
        <v>106</v>
      </c>
      <c r="D17" s="22">
        <v>210</v>
      </c>
      <c r="E17" s="12" t="s">
        <v>51</v>
      </c>
      <c r="F17" s="12" t="s">
        <v>220</v>
      </c>
      <c r="G17" s="12" t="s">
        <v>221</v>
      </c>
      <c r="H17" s="12" t="s">
        <v>222</v>
      </c>
      <c r="I17" s="15" t="str">
        <f t="shared" si="0"/>
        <v>CST-FRM</v>
      </c>
      <c r="J17" s="24">
        <f t="shared" si="1"/>
        <v>210</v>
      </c>
      <c r="K17" s="15" t="str">
        <f>IFERROR(INDEX(Suppliers!$B$2:$B$500,MATCH(F17,Suppliers!$A$2:$A$500,0)),"NOT FOUND")</f>
        <v>NOT FOUND</v>
      </c>
      <c r="L17" s="15">
        <f t="shared" si="2"/>
        <v>1</v>
      </c>
      <c r="M17" s="15" t="str">
        <f t="shared" si="3"/>
        <v xml:space="preserve">Unknown supplier; </v>
      </c>
      <c r="N17" s="15" t="str">
        <f t="shared" si="4"/>
        <v>CHECK</v>
      </c>
    </row>
    <row r="18" spans="1:14" x14ac:dyDescent="0.3">
      <c r="A18" s="12" t="s">
        <v>223</v>
      </c>
      <c r="B18" s="12" t="s">
        <v>224</v>
      </c>
      <c r="C18" s="12" t="s">
        <v>225</v>
      </c>
      <c r="D18" s="22"/>
      <c r="E18" s="12" t="s">
        <v>51</v>
      </c>
      <c r="F18" s="12" t="s">
        <v>168</v>
      </c>
      <c r="G18" s="12" t="s">
        <v>70</v>
      </c>
      <c r="H18" s="12" t="s">
        <v>226</v>
      </c>
      <c r="I18" s="15" t="str">
        <f t="shared" si="0"/>
        <v>SEAL-BUT</v>
      </c>
      <c r="J18" s="24" t="str">
        <f t="shared" si="1"/>
        <v/>
      </c>
      <c r="K18" s="15" t="str">
        <f>IFERROR(INDEX(Suppliers!$B$2:$B$500,MATCH(F18,Suppliers!$A$2:$A$500,0)),"NOT FOUND")</f>
        <v>Westway Site Supply</v>
      </c>
      <c r="L18" s="15">
        <f t="shared" si="2"/>
        <v>1</v>
      </c>
      <c r="M18" s="15" t="str">
        <f t="shared" si="3"/>
        <v xml:space="preserve">Missing cost; </v>
      </c>
      <c r="N18" s="15" t="str">
        <f t="shared" si="4"/>
        <v>CHECK</v>
      </c>
    </row>
    <row r="19" spans="1:14" x14ac:dyDescent="0.3">
      <c r="A19" s="12" t="s">
        <v>227</v>
      </c>
      <c r="B19" s="12" t="s">
        <v>228</v>
      </c>
      <c r="C19" s="12" t="s">
        <v>190</v>
      </c>
      <c r="D19" s="22">
        <v>1.1499999999999999</v>
      </c>
      <c r="E19" s="12" t="s">
        <v>51</v>
      </c>
      <c r="F19" s="12" t="s">
        <v>168</v>
      </c>
      <c r="G19" s="12" t="s">
        <v>70</v>
      </c>
      <c r="H19" s="12" t="s">
        <v>229</v>
      </c>
      <c r="I19" s="15" t="str">
        <f t="shared" si="0"/>
        <v>FRM-OIL</v>
      </c>
      <c r="J19" s="24">
        <f t="shared" si="1"/>
        <v>1.1499999999999999</v>
      </c>
      <c r="K19" s="15" t="str">
        <f>IFERROR(INDEX(Suppliers!$B$2:$B$500,MATCH(F19,Suppliers!$A$2:$A$500,0)),"NOT FOUND")</f>
        <v>Westway Site Supply</v>
      </c>
      <c r="L19" s="15">
        <f t="shared" si="2"/>
        <v>1</v>
      </c>
      <c r="M19" s="15" t="str">
        <f t="shared" si="3"/>
        <v/>
      </c>
      <c r="N19" s="15" t="str">
        <f t="shared" si="4"/>
        <v>OK</v>
      </c>
    </row>
    <row r="20" spans="1:14" x14ac:dyDescent="0.3">
      <c r="A20" s="12" t="s">
        <v>230</v>
      </c>
      <c r="B20" s="12" t="s">
        <v>231</v>
      </c>
      <c r="C20" s="12" t="s">
        <v>62</v>
      </c>
      <c r="D20" s="22">
        <v>1.29</v>
      </c>
      <c r="E20" s="12" t="s">
        <v>51</v>
      </c>
      <c r="F20" s="12" t="s">
        <v>152</v>
      </c>
      <c r="G20" s="12" t="s">
        <v>70</v>
      </c>
      <c r="H20" s="12" t="s">
        <v>197</v>
      </c>
      <c r="I20" s="15" t="str">
        <f t="shared" si="0"/>
        <v>RB-15M</v>
      </c>
      <c r="J20" s="24">
        <f t="shared" si="1"/>
        <v>1.29</v>
      </c>
      <c r="K20" s="15" t="str">
        <f>IFERROR(INDEX(Suppliers!$B$2:$B$500,MATCH(F20,Suppliers!$A$2:$A$500,0)),"NOT FOUND")</f>
        <v>Northern Rebar Mills</v>
      </c>
      <c r="L20" s="15">
        <f t="shared" si="2"/>
        <v>2</v>
      </c>
      <c r="M20" s="15" t="str">
        <f t="shared" si="3"/>
        <v xml:space="preserve">Duplicate code; </v>
      </c>
      <c r="N20" s="15" t="str">
        <f t="shared" si="4"/>
        <v>CHECK</v>
      </c>
    </row>
  </sheetData>
  <autoFilter ref="A1:N20" xr:uid="{00000000-0009-0000-0000-000004000000}"/>
  <conditionalFormatting sqref="N2:N20">
    <cfRule type="cellIs" dxfId="14" priority="2" operator="equal">
      <formula>"CHECK"</formula>
    </cfRule>
    <cfRule type="cellIs" dxfId="13" priority="3" operator="equal">
      <formula>"OK"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A5F"/>
    <pageSetUpPr fitToPage="1"/>
  </sheetPr>
  <dimension ref="A1:S11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640625" defaultRowHeight="14.4" x14ac:dyDescent="0.3"/>
  <cols>
    <col min="1" max="1" width="13" customWidth="1"/>
    <col min="2" max="2" width="8" customWidth="1"/>
    <col min="3" max="3" width="11" customWidth="1"/>
    <col min="4" max="4" width="9" customWidth="1"/>
    <col min="5" max="5" width="6" customWidth="1"/>
    <col min="6" max="6" width="11" customWidth="1"/>
    <col min="7" max="7" width="30" customWidth="1"/>
    <col min="8" max="8" width="9" customWidth="1"/>
    <col min="9" max="9" width="10" customWidth="1"/>
    <col min="10" max="11" width="12" customWidth="1"/>
    <col min="12" max="12" width="13" customWidth="1"/>
    <col min="13" max="13" width="10" customWidth="1"/>
    <col min="14" max="16" width="11" customWidth="1"/>
    <col min="17" max="17" width="13" customWidth="1"/>
    <col min="18" max="18" width="34" customWidth="1"/>
    <col min="19" max="19" width="9" customWidth="1"/>
  </cols>
  <sheetData>
    <row r="1" spans="1:19" ht="30" customHeight="1" x14ac:dyDescent="0.3">
      <c r="A1" s="20" t="s">
        <v>232</v>
      </c>
      <c r="B1" s="20" t="s">
        <v>233</v>
      </c>
      <c r="C1" s="20" t="s">
        <v>170</v>
      </c>
      <c r="D1" s="20" t="s">
        <v>234</v>
      </c>
      <c r="E1" s="20" t="s">
        <v>96</v>
      </c>
      <c r="F1" s="21" t="s">
        <v>173</v>
      </c>
      <c r="G1" s="21" t="s">
        <v>235</v>
      </c>
      <c r="H1" s="21" t="s">
        <v>236</v>
      </c>
      <c r="I1" s="21" t="s">
        <v>237</v>
      </c>
      <c r="J1" s="21" t="s">
        <v>238</v>
      </c>
      <c r="K1" s="21" t="s">
        <v>174</v>
      </c>
      <c r="L1" s="21" t="s">
        <v>239</v>
      </c>
      <c r="M1" s="21" t="s">
        <v>172</v>
      </c>
      <c r="N1" s="21" t="s">
        <v>240</v>
      </c>
      <c r="O1" s="21" t="s">
        <v>137</v>
      </c>
      <c r="P1" s="21" t="s">
        <v>241</v>
      </c>
      <c r="Q1" s="21" t="s">
        <v>242</v>
      </c>
      <c r="R1" s="21" t="s">
        <v>101</v>
      </c>
      <c r="S1" s="21" t="s">
        <v>102</v>
      </c>
    </row>
    <row r="2" spans="1:19" x14ac:dyDescent="0.3">
      <c r="A2" s="12" t="s">
        <v>103</v>
      </c>
      <c r="B2" s="12">
        <v>10</v>
      </c>
      <c r="C2" s="12" t="s">
        <v>176</v>
      </c>
      <c r="D2" s="25">
        <v>0.13300000000000001</v>
      </c>
      <c r="E2" s="12" t="s">
        <v>66</v>
      </c>
      <c r="F2" s="15" t="str">
        <f t="shared" ref="F2:F33" si="0">UPPER(TRIM(C2))</f>
        <v>CMT-GU</v>
      </c>
      <c r="G2" s="15" t="str">
        <f>IFERROR(INDEX(Components!$B$2:$B$500,MATCH(F2,Components!$I$2:$I$500,0)),"NOT FOUND")</f>
        <v>Portland cement Type GU</v>
      </c>
      <c r="H2" s="15" t="str">
        <f>IF(G2="NOT FOUND","",INDEX(Components!$C$2:$C$500,MATCH(F2,Components!$I$2:$I$500,0)))</f>
        <v>T</v>
      </c>
      <c r="I2" s="26">
        <f t="shared" ref="I2:I33" si="1">IF(G2="NOT FOUND","",IF(E2=H2,1,IFERROR(INDEX(Unit_Factor,MATCH(E2&amp;"&gt;"&amp;H2,Unit_Key,0)),"NO FACTOR")))</f>
        <v>1</v>
      </c>
      <c r="J2" s="27">
        <f t="shared" ref="J2:J33" si="2">IF(ISNUMBER(I2),D2*I2,"")</f>
        <v>0.13300000000000001</v>
      </c>
      <c r="K2" s="24">
        <f>IF(G2="NOT FOUND","",INDEX(Components!$J$2:$J$500,MATCH(F2,Components!$I$2:$I$500,0)))</f>
        <v>235</v>
      </c>
      <c r="L2" s="24">
        <f t="shared" ref="L2:L33" si="3">IF(AND(ISNUMBER(J2),ISNUMBER(K2)),J2*K2,"")</f>
        <v>31.255000000000003</v>
      </c>
      <c r="M2" s="15" t="str">
        <f>IF(G2="NOT FOUND","",IF(INDEX(Components!$G$2:$G$500,MATCH(F2,Components!$I$2:$I$500,0))="","UNKNOWN",INDEX(Components!$G$2:$G$500,MATCH(F2,Components!$I$2:$I$500,0))))</f>
        <v>CA</v>
      </c>
      <c r="N2" s="15" t="str">
        <f t="shared" ref="N2:N33" si="4">IF(M2="","",IF(M2="UNKNOWN","Unknown",IF(M2=Home_Country,"Domestic","Imported")))</f>
        <v>Domestic</v>
      </c>
      <c r="O2" s="15" t="str">
        <f>IF(G2="NOT FOUND","",INDEX(Components!$F$2:$F$500,MATCH(F2,Components!$I$2:$I$500,0)))</f>
        <v>SUP-01</v>
      </c>
      <c r="P2" s="28">
        <f>SUMIFS(Sales!$G$2:$G$500,Sales!$I$2:$I$500,A2)</f>
        <v>326</v>
      </c>
      <c r="Q2" s="29">
        <f t="shared" ref="Q2:Q33" si="5">IF(ISNUMBER(L2),L2*P2,"")</f>
        <v>10189.130000000001</v>
      </c>
      <c r="R2" s="15" t="str">
        <f t="shared" ref="R2:R33" si="6">IF(G2="NOT FOUND","Unknown component; ","")&amp;IF(I2="NO FACTOR","No unit conversion; ","")&amp;IF(AND(G2&lt;&gt;"NOT FOUND",K2=""),"Missing cost; ","")&amp;IF(M2="UNKNOWN","Missing origin; ","")</f>
        <v/>
      </c>
      <c r="S2" s="15" t="str">
        <f t="shared" ref="S2:S33" si="7">IF(R2="","OK","CHECK")</f>
        <v>OK</v>
      </c>
    </row>
    <row r="3" spans="1:19" x14ac:dyDescent="0.3">
      <c r="A3" s="12" t="s">
        <v>103</v>
      </c>
      <c r="B3" s="12">
        <v>20</v>
      </c>
      <c r="C3" s="12" t="s">
        <v>179</v>
      </c>
      <c r="D3" s="25">
        <v>2.6599999999999999E-2</v>
      </c>
      <c r="E3" s="12" t="s">
        <v>66</v>
      </c>
      <c r="F3" s="15" t="str">
        <f t="shared" si="0"/>
        <v>SCM-FA</v>
      </c>
      <c r="G3" s="15" t="str">
        <f>IFERROR(INDEX(Components!$B$2:$B$500,MATCH(F3,Components!$I$2:$I$500,0)),"NOT FOUND")</f>
        <v>Fly ash Class F</v>
      </c>
      <c r="H3" s="15" t="str">
        <f>IF(G3="NOT FOUND","",INDEX(Components!$C$2:$C$500,MATCH(F3,Components!$I$2:$I$500,0)))</f>
        <v>T</v>
      </c>
      <c r="I3" s="26">
        <f t="shared" si="1"/>
        <v>1</v>
      </c>
      <c r="J3" s="27">
        <f t="shared" si="2"/>
        <v>2.6599999999999999E-2</v>
      </c>
      <c r="K3" s="24">
        <f>IF(G3="NOT FOUND","",INDEX(Components!$J$2:$J$500,MATCH(F3,Components!$I$2:$I$500,0)))</f>
        <v>98.640000000000015</v>
      </c>
      <c r="L3" s="24">
        <f t="shared" si="3"/>
        <v>2.6238240000000004</v>
      </c>
      <c r="M3" s="15" t="str">
        <f>IF(G3="NOT FOUND","",IF(INDEX(Components!$G$2:$G$500,MATCH(F3,Components!$I$2:$I$500,0))="","UNKNOWN",INDEX(Components!$G$2:$G$500,MATCH(F3,Components!$I$2:$I$500,0))))</f>
        <v>US</v>
      </c>
      <c r="N3" s="15" t="str">
        <f t="shared" si="4"/>
        <v>Imported</v>
      </c>
      <c r="O3" s="15" t="str">
        <f>IF(G3="NOT FOUND","",INDEX(Components!$F$2:$F$500,MATCH(F3,Components!$I$2:$I$500,0)))</f>
        <v>SUP-02</v>
      </c>
      <c r="P3" s="28">
        <f>SUMIFS(Sales!$G$2:$G$500,Sales!$I$2:$I$500,A3)</f>
        <v>326</v>
      </c>
      <c r="Q3" s="29">
        <f t="shared" si="5"/>
        <v>855.36662400000012</v>
      </c>
      <c r="R3" s="15" t="str">
        <f t="shared" si="6"/>
        <v/>
      </c>
      <c r="S3" s="15" t="str">
        <f t="shared" si="7"/>
        <v>OK</v>
      </c>
    </row>
    <row r="4" spans="1:19" x14ac:dyDescent="0.3">
      <c r="A4" s="12" t="s">
        <v>103</v>
      </c>
      <c r="B4" s="12">
        <v>30</v>
      </c>
      <c r="C4" s="12" t="s">
        <v>182</v>
      </c>
      <c r="D4" s="25">
        <v>0.39900000000000002</v>
      </c>
      <c r="E4" s="12" t="s">
        <v>66</v>
      </c>
      <c r="F4" s="15" t="str">
        <f t="shared" si="0"/>
        <v>AGG-20</v>
      </c>
      <c r="G4" s="15" t="str">
        <f>IFERROR(INDEX(Components!$B$2:$B$500,MATCH(F4,Components!$I$2:$I$500,0)),"NOT FOUND")</f>
        <v>Coarse aggregate 20 mm</v>
      </c>
      <c r="H4" s="15" t="str">
        <f>IF(G4="NOT FOUND","",INDEX(Components!$C$2:$C$500,MATCH(F4,Components!$I$2:$I$500,0)))</f>
        <v>T</v>
      </c>
      <c r="I4" s="26">
        <f t="shared" si="1"/>
        <v>1</v>
      </c>
      <c r="J4" s="27">
        <f t="shared" si="2"/>
        <v>0.39900000000000002</v>
      </c>
      <c r="K4" s="24">
        <f>IF(G4="NOT FOUND","",INDEX(Components!$J$2:$J$500,MATCH(F4,Components!$I$2:$I$500,0)))</f>
        <v>28</v>
      </c>
      <c r="L4" s="24">
        <f t="shared" si="3"/>
        <v>11.172000000000001</v>
      </c>
      <c r="M4" s="15" t="str">
        <f>IF(G4="NOT FOUND","",IF(INDEX(Components!$G$2:$G$500,MATCH(F4,Components!$I$2:$I$500,0))="","UNKNOWN",INDEX(Components!$G$2:$G$500,MATCH(F4,Components!$I$2:$I$500,0))))</f>
        <v>CA</v>
      </c>
      <c r="N4" s="15" t="str">
        <f t="shared" si="4"/>
        <v>Domestic</v>
      </c>
      <c r="O4" s="15" t="str">
        <f>IF(G4="NOT FOUND","",INDEX(Components!$F$2:$F$500,MATCH(F4,Components!$I$2:$I$500,0)))</f>
        <v>SUP-03</v>
      </c>
      <c r="P4" s="28">
        <f>SUMIFS(Sales!$G$2:$G$500,Sales!$I$2:$I$500,A4)</f>
        <v>326</v>
      </c>
      <c r="Q4" s="29">
        <f t="shared" si="5"/>
        <v>3642.0720000000001</v>
      </c>
      <c r="R4" s="15" t="str">
        <f t="shared" si="6"/>
        <v/>
      </c>
      <c r="S4" s="15" t="str">
        <f t="shared" si="7"/>
        <v>OK</v>
      </c>
    </row>
    <row r="5" spans="1:19" x14ac:dyDescent="0.3">
      <c r="A5" s="12" t="s">
        <v>103</v>
      </c>
      <c r="B5" s="12">
        <v>40</v>
      </c>
      <c r="C5" s="12" t="s">
        <v>185</v>
      </c>
      <c r="D5" s="25">
        <v>0.28499999999999998</v>
      </c>
      <c r="E5" s="12" t="s">
        <v>66</v>
      </c>
      <c r="F5" s="15" t="str">
        <f t="shared" si="0"/>
        <v>AGG-SND</v>
      </c>
      <c r="G5" s="15" t="str">
        <f>IFERROR(INDEX(Components!$B$2:$B$500,MATCH(F5,Components!$I$2:$I$500,0)),"NOT FOUND")</f>
        <v>Concrete sand</v>
      </c>
      <c r="H5" s="15" t="str">
        <f>IF(G5="NOT FOUND","",INDEX(Components!$C$2:$C$500,MATCH(F5,Components!$I$2:$I$500,0)))</f>
        <v>T</v>
      </c>
      <c r="I5" s="26">
        <f t="shared" si="1"/>
        <v>1</v>
      </c>
      <c r="J5" s="27">
        <f t="shared" si="2"/>
        <v>0.28499999999999998</v>
      </c>
      <c r="K5" s="24">
        <f>IF(G5="NOT FOUND","",INDEX(Components!$J$2:$J$500,MATCH(F5,Components!$I$2:$I$500,0)))</f>
        <v>24</v>
      </c>
      <c r="L5" s="24">
        <f t="shared" si="3"/>
        <v>6.84</v>
      </c>
      <c r="M5" s="15" t="str">
        <f>IF(G5="NOT FOUND","",IF(INDEX(Components!$G$2:$G$500,MATCH(F5,Components!$I$2:$I$500,0))="","UNKNOWN",INDEX(Components!$G$2:$G$500,MATCH(F5,Components!$I$2:$I$500,0))))</f>
        <v>CA</v>
      </c>
      <c r="N5" s="15" t="str">
        <f t="shared" si="4"/>
        <v>Domestic</v>
      </c>
      <c r="O5" s="15" t="str">
        <f>IF(G5="NOT FOUND","",INDEX(Components!$F$2:$F$500,MATCH(F5,Components!$I$2:$I$500,0)))</f>
        <v>SUP-03</v>
      </c>
      <c r="P5" s="28">
        <f>SUMIFS(Sales!$G$2:$G$500,Sales!$I$2:$I$500,A5)</f>
        <v>326</v>
      </c>
      <c r="Q5" s="29">
        <f t="shared" si="5"/>
        <v>2229.84</v>
      </c>
      <c r="R5" s="15" t="str">
        <f t="shared" si="6"/>
        <v/>
      </c>
      <c r="S5" s="15" t="str">
        <f t="shared" si="7"/>
        <v>OK</v>
      </c>
    </row>
    <row r="6" spans="1:19" x14ac:dyDescent="0.3">
      <c r="A6" s="12" t="s">
        <v>103</v>
      </c>
      <c r="B6" s="12">
        <v>50</v>
      </c>
      <c r="C6" s="12" t="s">
        <v>188</v>
      </c>
      <c r="D6" s="25">
        <v>0.76</v>
      </c>
      <c r="E6" s="12" t="s">
        <v>190</v>
      </c>
      <c r="F6" s="15" t="str">
        <f t="shared" si="0"/>
        <v>ADM-SP</v>
      </c>
      <c r="G6" s="15" t="str">
        <f>IFERROR(INDEX(Components!$B$2:$B$500,MATCH(F6,Components!$I$2:$I$500,0)),"NOT FOUND")</f>
        <v>Superplasticizer admixture</v>
      </c>
      <c r="H6" s="15" t="str">
        <f>IF(G6="NOT FOUND","",INDEX(Components!$C$2:$C$500,MATCH(F6,Components!$I$2:$I$500,0)))</f>
        <v>L</v>
      </c>
      <c r="I6" s="26">
        <f t="shared" si="1"/>
        <v>1</v>
      </c>
      <c r="J6" s="27">
        <f t="shared" si="2"/>
        <v>0.76</v>
      </c>
      <c r="K6" s="24">
        <f>IF(G6="NOT FOUND","",INDEX(Components!$J$2:$J$500,MATCH(F6,Components!$I$2:$I$500,0)))</f>
        <v>4.2470000000000008</v>
      </c>
      <c r="L6" s="24">
        <f t="shared" si="3"/>
        <v>3.2277200000000006</v>
      </c>
      <c r="M6" s="15" t="str">
        <f>IF(G6="NOT FOUND","",IF(INDEX(Components!$G$2:$G$500,MATCH(F6,Components!$I$2:$I$500,0))="","UNKNOWN",INDEX(Components!$G$2:$G$500,MATCH(F6,Components!$I$2:$I$500,0))))</f>
        <v>US</v>
      </c>
      <c r="N6" s="15" t="str">
        <f t="shared" si="4"/>
        <v>Imported</v>
      </c>
      <c r="O6" s="15" t="str">
        <f>IF(G6="NOT FOUND","",INDEX(Components!$F$2:$F$500,MATCH(F6,Components!$I$2:$I$500,0)))</f>
        <v>SUP-04</v>
      </c>
      <c r="P6" s="28">
        <f>SUMIFS(Sales!$G$2:$G$500,Sales!$I$2:$I$500,A6)</f>
        <v>326</v>
      </c>
      <c r="Q6" s="29">
        <f t="shared" si="5"/>
        <v>1052.2367200000001</v>
      </c>
      <c r="R6" s="15" t="str">
        <f t="shared" si="6"/>
        <v/>
      </c>
      <c r="S6" s="15" t="str">
        <f t="shared" si="7"/>
        <v>OK</v>
      </c>
    </row>
    <row r="7" spans="1:19" x14ac:dyDescent="0.3">
      <c r="A7" s="12" t="s">
        <v>103</v>
      </c>
      <c r="B7" s="12">
        <v>60</v>
      </c>
      <c r="C7" s="12" t="s">
        <v>192</v>
      </c>
      <c r="D7" s="25">
        <v>0.152</v>
      </c>
      <c r="E7" s="12" t="s">
        <v>190</v>
      </c>
      <c r="F7" s="15" t="str">
        <f t="shared" si="0"/>
        <v>ADM-AE</v>
      </c>
      <c r="G7" s="15" t="str">
        <f>IFERROR(INDEX(Components!$B$2:$B$500,MATCH(F7,Components!$I$2:$I$500,0)),"NOT FOUND")</f>
        <v>Air-entraining admixture</v>
      </c>
      <c r="H7" s="15" t="str">
        <f>IF(G7="NOT FOUND","",INDEX(Components!$C$2:$C$500,MATCH(F7,Components!$I$2:$I$500,0)))</f>
        <v>L</v>
      </c>
      <c r="I7" s="26">
        <f t="shared" si="1"/>
        <v>1</v>
      </c>
      <c r="J7" s="27">
        <f t="shared" si="2"/>
        <v>0.152</v>
      </c>
      <c r="K7" s="24">
        <f>IF(G7="NOT FOUND","",INDEX(Components!$J$2:$J$500,MATCH(F7,Components!$I$2:$I$500,0)))</f>
        <v>3.2880000000000003</v>
      </c>
      <c r="L7" s="24">
        <f t="shared" si="3"/>
        <v>0.49977600000000005</v>
      </c>
      <c r="M7" s="15" t="str">
        <f>IF(G7="NOT FOUND","",IF(INDEX(Components!$G$2:$G$500,MATCH(F7,Components!$I$2:$I$500,0))="","UNKNOWN",INDEX(Components!$G$2:$G$500,MATCH(F7,Components!$I$2:$I$500,0))))</f>
        <v>US</v>
      </c>
      <c r="N7" s="15" t="str">
        <f t="shared" si="4"/>
        <v>Imported</v>
      </c>
      <c r="O7" s="15" t="str">
        <f>IF(G7="NOT FOUND","",INDEX(Components!$F$2:$F$500,MATCH(F7,Components!$I$2:$I$500,0)))</f>
        <v>SUP-04</v>
      </c>
      <c r="P7" s="28">
        <f>SUMIFS(Sales!$G$2:$G$500,Sales!$I$2:$I$500,A7)</f>
        <v>326</v>
      </c>
      <c r="Q7" s="29">
        <f t="shared" si="5"/>
        <v>162.92697600000002</v>
      </c>
      <c r="R7" s="15" t="str">
        <f t="shared" si="6"/>
        <v/>
      </c>
      <c r="S7" s="15" t="str">
        <f t="shared" si="7"/>
        <v>OK</v>
      </c>
    </row>
    <row r="8" spans="1:19" x14ac:dyDescent="0.3">
      <c r="A8" s="12" t="s">
        <v>103</v>
      </c>
      <c r="B8" s="12">
        <v>70</v>
      </c>
      <c r="C8" s="12" t="s">
        <v>195</v>
      </c>
      <c r="D8" s="25">
        <v>28</v>
      </c>
      <c r="E8" s="12" t="s">
        <v>62</v>
      </c>
      <c r="F8" s="15" t="str">
        <f t="shared" si="0"/>
        <v>RB-10M</v>
      </c>
      <c r="G8" s="15" t="str">
        <f>IFERROR(INDEX(Components!$B$2:$B$500,MATCH(F8,Components!$I$2:$I$500,0)),"NOT FOUND")</f>
        <v>Rebar 10M</v>
      </c>
      <c r="H8" s="15" t="str">
        <f>IF(G8="NOT FOUND","",INDEX(Components!$C$2:$C$500,MATCH(F8,Components!$I$2:$I$500,0)))</f>
        <v>KG</v>
      </c>
      <c r="I8" s="26">
        <f t="shared" si="1"/>
        <v>1</v>
      </c>
      <c r="J8" s="27">
        <f t="shared" si="2"/>
        <v>28</v>
      </c>
      <c r="K8" s="24">
        <f>IF(G8="NOT FOUND","",INDEX(Components!$J$2:$J$500,MATCH(F8,Components!$I$2:$I$500,0)))</f>
        <v>1.38</v>
      </c>
      <c r="L8" s="24">
        <f t="shared" si="3"/>
        <v>38.64</v>
      </c>
      <c r="M8" s="15" t="str">
        <f>IF(G8="NOT FOUND","",IF(INDEX(Components!$G$2:$G$500,MATCH(F8,Components!$I$2:$I$500,0))="","UNKNOWN",INDEX(Components!$G$2:$G$500,MATCH(F8,Components!$I$2:$I$500,0))))</f>
        <v>CA</v>
      </c>
      <c r="N8" s="15" t="str">
        <f t="shared" si="4"/>
        <v>Domestic</v>
      </c>
      <c r="O8" s="15" t="str">
        <f>IF(G8="NOT FOUND","",INDEX(Components!$F$2:$F$500,MATCH(F8,Components!$I$2:$I$500,0)))</f>
        <v>SUP-05</v>
      </c>
      <c r="P8" s="28">
        <f>SUMIFS(Sales!$G$2:$G$500,Sales!$I$2:$I$500,A8)</f>
        <v>326</v>
      </c>
      <c r="Q8" s="29">
        <f t="shared" si="5"/>
        <v>12596.64</v>
      </c>
      <c r="R8" s="15" t="str">
        <f t="shared" si="6"/>
        <v/>
      </c>
      <c r="S8" s="15" t="str">
        <f t="shared" si="7"/>
        <v>OK</v>
      </c>
    </row>
    <row r="9" spans="1:19" x14ac:dyDescent="0.3">
      <c r="A9" s="12" t="s">
        <v>103</v>
      </c>
      <c r="B9" s="12">
        <v>80</v>
      </c>
      <c r="C9" s="12" t="s">
        <v>208</v>
      </c>
      <c r="D9" s="25">
        <v>1</v>
      </c>
      <c r="E9" s="12" t="s">
        <v>106</v>
      </c>
      <c r="F9" s="15" t="str">
        <f t="shared" si="0"/>
        <v>GSK-0600</v>
      </c>
      <c r="G9" s="15" t="str">
        <f>IFERROR(INDEX(Components!$B$2:$B$500,MATCH(F9,Components!$I$2:$I$500,0)),"NOT FOUND")</f>
        <v>Rubber pipe gasket 600 mm</v>
      </c>
      <c r="H9" s="15" t="str">
        <f>IF(G9="NOT FOUND","",INDEX(Components!$C$2:$C$500,MATCH(F9,Components!$I$2:$I$500,0)))</f>
        <v>EA</v>
      </c>
      <c r="I9" s="26">
        <f t="shared" si="1"/>
        <v>1</v>
      </c>
      <c r="J9" s="27">
        <f t="shared" si="2"/>
        <v>1</v>
      </c>
      <c r="K9" s="24">
        <f>IF(G9="NOT FOUND","",INDEX(Components!$J$2:$J$500,MATCH(F9,Components!$I$2:$I$500,0)))</f>
        <v>25.345000000000002</v>
      </c>
      <c r="L9" s="24">
        <f t="shared" si="3"/>
        <v>25.345000000000002</v>
      </c>
      <c r="M9" s="15" t="str">
        <f>IF(G9="NOT FOUND","",IF(INDEX(Components!$G$2:$G$500,MATCH(F9,Components!$I$2:$I$500,0))="","UNKNOWN",INDEX(Components!$G$2:$G$500,MATCH(F9,Components!$I$2:$I$500,0))))</f>
        <v>MX</v>
      </c>
      <c r="N9" s="15" t="str">
        <f t="shared" si="4"/>
        <v>Imported</v>
      </c>
      <c r="O9" s="15" t="str">
        <f>IF(G9="NOT FOUND","",INDEX(Components!$F$2:$F$500,MATCH(F9,Components!$I$2:$I$500,0)))</f>
        <v>SUP-09</v>
      </c>
      <c r="P9" s="28">
        <f>SUMIFS(Sales!$G$2:$G$500,Sales!$I$2:$I$500,A9)</f>
        <v>326</v>
      </c>
      <c r="Q9" s="29">
        <f t="shared" si="5"/>
        <v>8262.4700000000012</v>
      </c>
      <c r="R9" s="15" t="str">
        <f t="shared" si="6"/>
        <v/>
      </c>
      <c r="S9" s="15" t="str">
        <f t="shared" si="7"/>
        <v>OK</v>
      </c>
    </row>
    <row r="10" spans="1:19" x14ac:dyDescent="0.3">
      <c r="A10" s="12" t="s">
        <v>103</v>
      </c>
      <c r="B10" s="12">
        <v>90</v>
      </c>
      <c r="C10" s="12" t="s">
        <v>227</v>
      </c>
      <c r="D10" s="25">
        <v>0.3</v>
      </c>
      <c r="E10" s="12" t="s">
        <v>190</v>
      </c>
      <c r="F10" s="15" t="str">
        <f t="shared" si="0"/>
        <v>FRM-OIL</v>
      </c>
      <c r="G10" s="15" t="str">
        <f>IFERROR(INDEX(Components!$B$2:$B$500,MATCH(F10,Components!$I$2:$I$500,0)),"NOT FOUND")</f>
        <v>Form release agent</v>
      </c>
      <c r="H10" s="15" t="str">
        <f>IF(G10="NOT FOUND","",INDEX(Components!$C$2:$C$500,MATCH(F10,Components!$I$2:$I$500,0)))</f>
        <v>L</v>
      </c>
      <c r="I10" s="26">
        <f t="shared" si="1"/>
        <v>1</v>
      </c>
      <c r="J10" s="27">
        <f t="shared" si="2"/>
        <v>0.3</v>
      </c>
      <c r="K10" s="24">
        <f>IF(G10="NOT FOUND","",INDEX(Components!$J$2:$J$500,MATCH(F10,Components!$I$2:$I$500,0)))</f>
        <v>1.1499999999999999</v>
      </c>
      <c r="L10" s="24">
        <f t="shared" si="3"/>
        <v>0.34499999999999997</v>
      </c>
      <c r="M10" s="15" t="str">
        <f>IF(G10="NOT FOUND","",IF(INDEX(Components!$G$2:$G$500,MATCH(F10,Components!$I$2:$I$500,0))="","UNKNOWN",INDEX(Components!$G$2:$G$500,MATCH(F10,Components!$I$2:$I$500,0))))</f>
        <v>CA</v>
      </c>
      <c r="N10" s="15" t="str">
        <f t="shared" si="4"/>
        <v>Domestic</v>
      </c>
      <c r="O10" s="15" t="str">
        <f>IF(G10="NOT FOUND","",INDEX(Components!$F$2:$F$500,MATCH(F10,Components!$I$2:$I$500,0)))</f>
        <v>SUP-12</v>
      </c>
      <c r="P10" s="28">
        <f>SUMIFS(Sales!$G$2:$G$500,Sales!$I$2:$I$500,A10)</f>
        <v>326</v>
      </c>
      <c r="Q10" s="29">
        <f t="shared" si="5"/>
        <v>112.46999999999998</v>
      </c>
      <c r="R10" s="15" t="str">
        <f t="shared" si="6"/>
        <v/>
      </c>
      <c r="S10" s="15" t="str">
        <f t="shared" si="7"/>
        <v>OK</v>
      </c>
    </row>
    <row r="11" spans="1:19" x14ac:dyDescent="0.3">
      <c r="A11" s="12" t="s">
        <v>108</v>
      </c>
      <c r="B11" s="12">
        <v>10</v>
      </c>
      <c r="C11" s="12" t="s">
        <v>176</v>
      </c>
      <c r="D11" s="25">
        <v>0.245</v>
      </c>
      <c r="E11" s="12" t="s">
        <v>66</v>
      </c>
      <c r="F11" s="15" t="str">
        <f t="shared" si="0"/>
        <v>CMT-GU</v>
      </c>
      <c r="G11" s="15" t="str">
        <f>IFERROR(INDEX(Components!$B$2:$B$500,MATCH(F11,Components!$I$2:$I$500,0)),"NOT FOUND")</f>
        <v>Portland cement Type GU</v>
      </c>
      <c r="H11" s="15" t="str">
        <f>IF(G11="NOT FOUND","",INDEX(Components!$C$2:$C$500,MATCH(F11,Components!$I$2:$I$500,0)))</f>
        <v>T</v>
      </c>
      <c r="I11" s="26">
        <f t="shared" si="1"/>
        <v>1</v>
      </c>
      <c r="J11" s="27">
        <f t="shared" si="2"/>
        <v>0.245</v>
      </c>
      <c r="K11" s="24">
        <f>IF(G11="NOT FOUND","",INDEX(Components!$J$2:$J$500,MATCH(F11,Components!$I$2:$I$500,0)))</f>
        <v>235</v>
      </c>
      <c r="L11" s="24">
        <f t="shared" si="3"/>
        <v>57.574999999999996</v>
      </c>
      <c r="M11" s="15" t="str">
        <f>IF(G11="NOT FOUND","",IF(INDEX(Components!$G$2:$G$500,MATCH(F11,Components!$I$2:$I$500,0))="","UNKNOWN",INDEX(Components!$G$2:$G$500,MATCH(F11,Components!$I$2:$I$500,0))))</f>
        <v>CA</v>
      </c>
      <c r="N11" s="15" t="str">
        <f t="shared" si="4"/>
        <v>Domestic</v>
      </c>
      <c r="O11" s="15" t="str">
        <f>IF(G11="NOT FOUND","",INDEX(Components!$F$2:$F$500,MATCH(F11,Components!$I$2:$I$500,0)))</f>
        <v>SUP-01</v>
      </c>
      <c r="P11" s="28">
        <f>SUMIFS(Sales!$G$2:$G$500,Sales!$I$2:$I$500,A11)</f>
        <v>366</v>
      </c>
      <c r="Q11" s="29">
        <f t="shared" si="5"/>
        <v>21072.449999999997</v>
      </c>
      <c r="R11" s="15" t="str">
        <f t="shared" si="6"/>
        <v/>
      </c>
      <c r="S11" s="15" t="str">
        <f t="shared" si="7"/>
        <v>OK</v>
      </c>
    </row>
    <row r="12" spans="1:19" x14ac:dyDescent="0.3">
      <c r="A12" s="12" t="s">
        <v>108</v>
      </c>
      <c r="B12" s="12">
        <v>20</v>
      </c>
      <c r="C12" s="12" t="s">
        <v>179</v>
      </c>
      <c r="D12" s="25">
        <v>4.9000000000000002E-2</v>
      </c>
      <c r="E12" s="12" t="s">
        <v>66</v>
      </c>
      <c r="F12" s="15" t="str">
        <f t="shared" si="0"/>
        <v>SCM-FA</v>
      </c>
      <c r="G12" s="15" t="str">
        <f>IFERROR(INDEX(Components!$B$2:$B$500,MATCH(F12,Components!$I$2:$I$500,0)),"NOT FOUND")</f>
        <v>Fly ash Class F</v>
      </c>
      <c r="H12" s="15" t="str">
        <f>IF(G12="NOT FOUND","",INDEX(Components!$C$2:$C$500,MATCH(F12,Components!$I$2:$I$500,0)))</f>
        <v>T</v>
      </c>
      <c r="I12" s="26">
        <f t="shared" si="1"/>
        <v>1</v>
      </c>
      <c r="J12" s="27">
        <f t="shared" si="2"/>
        <v>4.9000000000000002E-2</v>
      </c>
      <c r="K12" s="24">
        <f>IF(G12="NOT FOUND","",INDEX(Components!$J$2:$J$500,MATCH(F12,Components!$I$2:$I$500,0)))</f>
        <v>98.640000000000015</v>
      </c>
      <c r="L12" s="24">
        <f t="shared" si="3"/>
        <v>4.8333600000000008</v>
      </c>
      <c r="M12" s="15" t="str">
        <f>IF(G12="NOT FOUND","",IF(INDEX(Components!$G$2:$G$500,MATCH(F12,Components!$I$2:$I$500,0))="","UNKNOWN",INDEX(Components!$G$2:$G$500,MATCH(F12,Components!$I$2:$I$500,0))))</f>
        <v>US</v>
      </c>
      <c r="N12" s="15" t="str">
        <f t="shared" si="4"/>
        <v>Imported</v>
      </c>
      <c r="O12" s="15" t="str">
        <f>IF(G12="NOT FOUND","",INDEX(Components!$F$2:$F$500,MATCH(F12,Components!$I$2:$I$500,0)))</f>
        <v>SUP-02</v>
      </c>
      <c r="P12" s="28">
        <f>SUMIFS(Sales!$G$2:$G$500,Sales!$I$2:$I$500,A12)</f>
        <v>366</v>
      </c>
      <c r="Q12" s="29">
        <f t="shared" si="5"/>
        <v>1769.0097600000004</v>
      </c>
      <c r="R12" s="15" t="str">
        <f t="shared" si="6"/>
        <v/>
      </c>
      <c r="S12" s="15" t="str">
        <f t="shared" si="7"/>
        <v>OK</v>
      </c>
    </row>
    <row r="13" spans="1:19" x14ac:dyDescent="0.3">
      <c r="A13" s="12" t="s">
        <v>108</v>
      </c>
      <c r="B13" s="12">
        <v>30</v>
      </c>
      <c r="C13" s="12" t="s">
        <v>182</v>
      </c>
      <c r="D13" s="25">
        <v>0.73499999999999999</v>
      </c>
      <c r="E13" s="12" t="s">
        <v>66</v>
      </c>
      <c r="F13" s="15" t="str">
        <f t="shared" si="0"/>
        <v>AGG-20</v>
      </c>
      <c r="G13" s="15" t="str">
        <f>IFERROR(INDEX(Components!$B$2:$B$500,MATCH(F13,Components!$I$2:$I$500,0)),"NOT FOUND")</f>
        <v>Coarse aggregate 20 mm</v>
      </c>
      <c r="H13" s="15" t="str">
        <f>IF(G13="NOT FOUND","",INDEX(Components!$C$2:$C$500,MATCH(F13,Components!$I$2:$I$500,0)))</f>
        <v>T</v>
      </c>
      <c r="I13" s="26">
        <f t="shared" si="1"/>
        <v>1</v>
      </c>
      <c r="J13" s="27">
        <f t="shared" si="2"/>
        <v>0.73499999999999999</v>
      </c>
      <c r="K13" s="24">
        <f>IF(G13="NOT FOUND","",INDEX(Components!$J$2:$J$500,MATCH(F13,Components!$I$2:$I$500,0)))</f>
        <v>28</v>
      </c>
      <c r="L13" s="24">
        <f t="shared" si="3"/>
        <v>20.58</v>
      </c>
      <c r="M13" s="15" t="str">
        <f>IF(G13="NOT FOUND","",IF(INDEX(Components!$G$2:$G$500,MATCH(F13,Components!$I$2:$I$500,0))="","UNKNOWN",INDEX(Components!$G$2:$G$500,MATCH(F13,Components!$I$2:$I$500,0))))</f>
        <v>CA</v>
      </c>
      <c r="N13" s="15" t="str">
        <f t="shared" si="4"/>
        <v>Domestic</v>
      </c>
      <c r="O13" s="15" t="str">
        <f>IF(G13="NOT FOUND","",INDEX(Components!$F$2:$F$500,MATCH(F13,Components!$I$2:$I$500,0)))</f>
        <v>SUP-03</v>
      </c>
      <c r="P13" s="28">
        <f>SUMIFS(Sales!$G$2:$G$500,Sales!$I$2:$I$500,A13)</f>
        <v>366</v>
      </c>
      <c r="Q13" s="29">
        <f t="shared" si="5"/>
        <v>7532.28</v>
      </c>
      <c r="R13" s="15" t="str">
        <f t="shared" si="6"/>
        <v/>
      </c>
      <c r="S13" s="15" t="str">
        <f t="shared" si="7"/>
        <v>OK</v>
      </c>
    </row>
    <row r="14" spans="1:19" x14ac:dyDescent="0.3">
      <c r="A14" s="12" t="s">
        <v>108</v>
      </c>
      <c r="B14" s="12">
        <v>40</v>
      </c>
      <c r="C14" s="12" t="s">
        <v>185</v>
      </c>
      <c r="D14" s="25">
        <v>0.52500000000000002</v>
      </c>
      <c r="E14" s="12" t="s">
        <v>66</v>
      </c>
      <c r="F14" s="15" t="str">
        <f t="shared" si="0"/>
        <v>AGG-SND</v>
      </c>
      <c r="G14" s="15" t="str">
        <f>IFERROR(INDEX(Components!$B$2:$B$500,MATCH(F14,Components!$I$2:$I$500,0)),"NOT FOUND")</f>
        <v>Concrete sand</v>
      </c>
      <c r="H14" s="15" t="str">
        <f>IF(G14="NOT FOUND","",INDEX(Components!$C$2:$C$500,MATCH(F14,Components!$I$2:$I$500,0)))</f>
        <v>T</v>
      </c>
      <c r="I14" s="26">
        <f t="shared" si="1"/>
        <v>1</v>
      </c>
      <c r="J14" s="27">
        <f t="shared" si="2"/>
        <v>0.52500000000000002</v>
      </c>
      <c r="K14" s="24">
        <f>IF(G14="NOT FOUND","",INDEX(Components!$J$2:$J$500,MATCH(F14,Components!$I$2:$I$500,0)))</f>
        <v>24</v>
      </c>
      <c r="L14" s="24">
        <f t="shared" si="3"/>
        <v>12.600000000000001</v>
      </c>
      <c r="M14" s="15" t="str">
        <f>IF(G14="NOT FOUND","",IF(INDEX(Components!$G$2:$G$500,MATCH(F14,Components!$I$2:$I$500,0))="","UNKNOWN",INDEX(Components!$G$2:$G$500,MATCH(F14,Components!$I$2:$I$500,0))))</f>
        <v>CA</v>
      </c>
      <c r="N14" s="15" t="str">
        <f t="shared" si="4"/>
        <v>Domestic</v>
      </c>
      <c r="O14" s="15" t="str">
        <f>IF(G14="NOT FOUND","",INDEX(Components!$F$2:$F$500,MATCH(F14,Components!$I$2:$I$500,0)))</f>
        <v>SUP-03</v>
      </c>
      <c r="P14" s="28">
        <f>SUMIFS(Sales!$G$2:$G$500,Sales!$I$2:$I$500,A14)</f>
        <v>366</v>
      </c>
      <c r="Q14" s="29">
        <f t="shared" si="5"/>
        <v>4611.6000000000004</v>
      </c>
      <c r="R14" s="15" t="str">
        <f t="shared" si="6"/>
        <v/>
      </c>
      <c r="S14" s="15" t="str">
        <f t="shared" si="7"/>
        <v>OK</v>
      </c>
    </row>
    <row r="15" spans="1:19" x14ac:dyDescent="0.3">
      <c r="A15" s="12" t="s">
        <v>108</v>
      </c>
      <c r="B15" s="12">
        <v>50</v>
      </c>
      <c r="C15" s="12" t="s">
        <v>188</v>
      </c>
      <c r="D15" s="25">
        <v>1.4</v>
      </c>
      <c r="E15" s="12" t="s">
        <v>190</v>
      </c>
      <c r="F15" s="15" t="str">
        <f t="shared" si="0"/>
        <v>ADM-SP</v>
      </c>
      <c r="G15" s="15" t="str">
        <f>IFERROR(INDEX(Components!$B$2:$B$500,MATCH(F15,Components!$I$2:$I$500,0)),"NOT FOUND")</f>
        <v>Superplasticizer admixture</v>
      </c>
      <c r="H15" s="15" t="str">
        <f>IF(G15="NOT FOUND","",INDEX(Components!$C$2:$C$500,MATCH(F15,Components!$I$2:$I$500,0)))</f>
        <v>L</v>
      </c>
      <c r="I15" s="26">
        <f t="shared" si="1"/>
        <v>1</v>
      </c>
      <c r="J15" s="27">
        <f t="shared" si="2"/>
        <v>1.4</v>
      </c>
      <c r="K15" s="24">
        <f>IF(G15="NOT FOUND","",INDEX(Components!$J$2:$J$500,MATCH(F15,Components!$I$2:$I$500,0)))</f>
        <v>4.2470000000000008</v>
      </c>
      <c r="L15" s="24">
        <f t="shared" si="3"/>
        <v>5.9458000000000011</v>
      </c>
      <c r="M15" s="15" t="str">
        <f>IF(G15="NOT FOUND","",IF(INDEX(Components!$G$2:$G$500,MATCH(F15,Components!$I$2:$I$500,0))="","UNKNOWN",INDEX(Components!$G$2:$G$500,MATCH(F15,Components!$I$2:$I$500,0))))</f>
        <v>US</v>
      </c>
      <c r="N15" s="15" t="str">
        <f t="shared" si="4"/>
        <v>Imported</v>
      </c>
      <c r="O15" s="15" t="str">
        <f>IF(G15="NOT FOUND","",INDEX(Components!$F$2:$F$500,MATCH(F15,Components!$I$2:$I$500,0)))</f>
        <v>SUP-04</v>
      </c>
      <c r="P15" s="28">
        <f>SUMIFS(Sales!$G$2:$G$500,Sales!$I$2:$I$500,A15)</f>
        <v>366</v>
      </c>
      <c r="Q15" s="29">
        <f t="shared" si="5"/>
        <v>2176.1628000000005</v>
      </c>
      <c r="R15" s="15" t="str">
        <f t="shared" si="6"/>
        <v/>
      </c>
      <c r="S15" s="15" t="str">
        <f t="shared" si="7"/>
        <v>OK</v>
      </c>
    </row>
    <row r="16" spans="1:19" x14ac:dyDescent="0.3">
      <c r="A16" s="12" t="s">
        <v>108</v>
      </c>
      <c r="B16" s="12">
        <v>60</v>
      </c>
      <c r="C16" s="12" t="s">
        <v>192</v>
      </c>
      <c r="D16" s="25">
        <v>0.28000000000000003</v>
      </c>
      <c r="E16" s="12" t="s">
        <v>190</v>
      </c>
      <c r="F16" s="15" t="str">
        <f t="shared" si="0"/>
        <v>ADM-AE</v>
      </c>
      <c r="G16" s="15" t="str">
        <f>IFERROR(INDEX(Components!$B$2:$B$500,MATCH(F16,Components!$I$2:$I$500,0)),"NOT FOUND")</f>
        <v>Air-entraining admixture</v>
      </c>
      <c r="H16" s="15" t="str">
        <f>IF(G16="NOT FOUND","",INDEX(Components!$C$2:$C$500,MATCH(F16,Components!$I$2:$I$500,0)))</f>
        <v>L</v>
      </c>
      <c r="I16" s="26">
        <f t="shared" si="1"/>
        <v>1</v>
      </c>
      <c r="J16" s="27">
        <f t="shared" si="2"/>
        <v>0.28000000000000003</v>
      </c>
      <c r="K16" s="24">
        <f>IF(G16="NOT FOUND","",INDEX(Components!$J$2:$J$500,MATCH(F16,Components!$I$2:$I$500,0)))</f>
        <v>3.2880000000000003</v>
      </c>
      <c r="L16" s="24">
        <f t="shared" si="3"/>
        <v>0.92064000000000012</v>
      </c>
      <c r="M16" s="15" t="str">
        <f>IF(G16="NOT FOUND","",IF(INDEX(Components!$G$2:$G$500,MATCH(F16,Components!$I$2:$I$500,0))="","UNKNOWN",INDEX(Components!$G$2:$G$500,MATCH(F16,Components!$I$2:$I$500,0))))</f>
        <v>US</v>
      </c>
      <c r="N16" s="15" t="str">
        <f t="shared" si="4"/>
        <v>Imported</v>
      </c>
      <c r="O16" s="15" t="str">
        <f>IF(G16="NOT FOUND","",INDEX(Components!$F$2:$F$500,MATCH(F16,Components!$I$2:$I$500,0)))</f>
        <v>SUP-04</v>
      </c>
      <c r="P16" s="28">
        <f>SUMIFS(Sales!$G$2:$G$500,Sales!$I$2:$I$500,A16)</f>
        <v>366</v>
      </c>
      <c r="Q16" s="29">
        <f t="shared" si="5"/>
        <v>336.95424000000003</v>
      </c>
      <c r="R16" s="15" t="str">
        <f t="shared" si="6"/>
        <v/>
      </c>
      <c r="S16" s="15" t="str">
        <f t="shared" si="7"/>
        <v>OK</v>
      </c>
    </row>
    <row r="17" spans="1:19" x14ac:dyDescent="0.3">
      <c r="A17" s="12" t="s">
        <v>108</v>
      </c>
      <c r="B17" s="12">
        <v>70</v>
      </c>
      <c r="C17" s="12" t="s">
        <v>198</v>
      </c>
      <c r="D17" s="25">
        <v>121</v>
      </c>
      <c r="E17" s="12" t="s">
        <v>61</v>
      </c>
      <c r="F17" s="15" t="str">
        <f t="shared" si="0"/>
        <v>RB-15M</v>
      </c>
      <c r="G17" s="15" t="str">
        <f>IFERROR(INDEX(Components!$B$2:$B$500,MATCH(F17,Components!$I$2:$I$500,0)),"NOT FOUND")</f>
        <v>Rebar 15M</v>
      </c>
      <c r="H17" s="15" t="str">
        <f>IF(G17="NOT FOUND","",INDEX(Components!$C$2:$C$500,MATCH(F17,Components!$I$2:$I$500,0)))</f>
        <v>KG</v>
      </c>
      <c r="I17" s="26">
        <f t="shared" si="1"/>
        <v>0.45359237000000002</v>
      </c>
      <c r="J17" s="27">
        <f t="shared" si="2"/>
        <v>54.884676770000006</v>
      </c>
      <c r="K17" s="24">
        <f>IF(G17="NOT FOUND","",INDEX(Components!$J$2:$J$500,MATCH(F17,Components!$I$2:$I$500,0)))</f>
        <v>1.31</v>
      </c>
      <c r="L17" s="24">
        <f t="shared" si="3"/>
        <v>71.898926568700006</v>
      </c>
      <c r="M17" s="15" t="str">
        <f>IF(G17="NOT FOUND","",IF(INDEX(Components!$G$2:$G$500,MATCH(F17,Components!$I$2:$I$500,0))="","UNKNOWN",INDEX(Components!$G$2:$G$500,MATCH(F17,Components!$I$2:$I$500,0))))</f>
        <v>CA</v>
      </c>
      <c r="N17" s="15" t="str">
        <f t="shared" si="4"/>
        <v>Domestic</v>
      </c>
      <c r="O17" s="15" t="str">
        <f>IF(G17="NOT FOUND","",INDEX(Components!$F$2:$F$500,MATCH(F17,Components!$I$2:$I$500,0)))</f>
        <v>SUP-05</v>
      </c>
      <c r="P17" s="28">
        <f>SUMIFS(Sales!$G$2:$G$500,Sales!$I$2:$I$500,A17)</f>
        <v>366</v>
      </c>
      <c r="Q17" s="29">
        <f t="shared" si="5"/>
        <v>26315.007124144202</v>
      </c>
      <c r="R17" s="15" t="str">
        <f t="shared" si="6"/>
        <v/>
      </c>
      <c r="S17" s="15" t="str">
        <f t="shared" si="7"/>
        <v>OK</v>
      </c>
    </row>
    <row r="18" spans="1:19" x14ac:dyDescent="0.3">
      <c r="A18" s="12" t="s">
        <v>108</v>
      </c>
      <c r="B18" s="12">
        <v>80</v>
      </c>
      <c r="C18" s="12" t="s">
        <v>211</v>
      </c>
      <c r="D18" s="25">
        <v>1</v>
      </c>
      <c r="E18" s="12" t="s">
        <v>106</v>
      </c>
      <c r="F18" s="15" t="str">
        <f t="shared" si="0"/>
        <v>GSK-0900</v>
      </c>
      <c r="G18" s="15" t="str">
        <f>IFERROR(INDEX(Components!$B$2:$B$500,MATCH(F18,Components!$I$2:$I$500,0)),"NOT FOUND")</f>
        <v>Rubber pipe gasket 900 mm</v>
      </c>
      <c r="H18" s="15" t="str">
        <f>IF(G18="NOT FOUND","",INDEX(Components!$C$2:$C$500,MATCH(F18,Components!$I$2:$I$500,0)))</f>
        <v>EA</v>
      </c>
      <c r="I18" s="26">
        <f t="shared" si="1"/>
        <v>1</v>
      </c>
      <c r="J18" s="27">
        <f t="shared" si="2"/>
        <v>1</v>
      </c>
      <c r="K18" s="24">
        <f>IF(G18="NOT FOUND","",INDEX(Components!$J$2:$J$500,MATCH(F18,Components!$I$2:$I$500,0)))</f>
        <v>35.620000000000005</v>
      </c>
      <c r="L18" s="24">
        <f t="shared" si="3"/>
        <v>35.620000000000005</v>
      </c>
      <c r="M18" s="15" t="str">
        <f>IF(G18="NOT FOUND","",IF(INDEX(Components!$G$2:$G$500,MATCH(F18,Components!$I$2:$I$500,0))="","UNKNOWN",INDEX(Components!$G$2:$G$500,MATCH(F18,Components!$I$2:$I$500,0))))</f>
        <v>MX</v>
      </c>
      <c r="N18" s="15" t="str">
        <f t="shared" si="4"/>
        <v>Imported</v>
      </c>
      <c r="O18" s="15" t="str">
        <f>IF(G18="NOT FOUND","",INDEX(Components!$F$2:$F$500,MATCH(F18,Components!$I$2:$I$500,0)))</f>
        <v>SUP-09</v>
      </c>
      <c r="P18" s="28">
        <f>SUMIFS(Sales!$G$2:$G$500,Sales!$I$2:$I$500,A18)</f>
        <v>366</v>
      </c>
      <c r="Q18" s="29">
        <f t="shared" si="5"/>
        <v>13036.920000000002</v>
      </c>
      <c r="R18" s="15" t="str">
        <f t="shared" si="6"/>
        <v/>
      </c>
      <c r="S18" s="15" t="str">
        <f t="shared" si="7"/>
        <v>OK</v>
      </c>
    </row>
    <row r="19" spans="1:19" x14ac:dyDescent="0.3">
      <c r="A19" s="12" t="s">
        <v>108</v>
      </c>
      <c r="B19" s="12">
        <v>90</v>
      </c>
      <c r="C19" s="12" t="s">
        <v>227</v>
      </c>
      <c r="D19" s="25">
        <v>0.4</v>
      </c>
      <c r="E19" s="12" t="s">
        <v>190</v>
      </c>
      <c r="F19" s="15" t="str">
        <f t="shared" si="0"/>
        <v>FRM-OIL</v>
      </c>
      <c r="G19" s="15" t="str">
        <f>IFERROR(INDEX(Components!$B$2:$B$500,MATCH(F19,Components!$I$2:$I$500,0)),"NOT FOUND")</f>
        <v>Form release agent</v>
      </c>
      <c r="H19" s="15" t="str">
        <f>IF(G19="NOT FOUND","",INDEX(Components!$C$2:$C$500,MATCH(F19,Components!$I$2:$I$500,0)))</f>
        <v>L</v>
      </c>
      <c r="I19" s="26">
        <f t="shared" si="1"/>
        <v>1</v>
      </c>
      <c r="J19" s="27">
        <f t="shared" si="2"/>
        <v>0.4</v>
      </c>
      <c r="K19" s="24">
        <f>IF(G19="NOT FOUND","",INDEX(Components!$J$2:$J$500,MATCH(F19,Components!$I$2:$I$500,0)))</f>
        <v>1.1499999999999999</v>
      </c>
      <c r="L19" s="24">
        <f t="shared" si="3"/>
        <v>0.45999999999999996</v>
      </c>
      <c r="M19" s="15" t="str">
        <f>IF(G19="NOT FOUND","",IF(INDEX(Components!$G$2:$G$500,MATCH(F19,Components!$I$2:$I$500,0))="","UNKNOWN",INDEX(Components!$G$2:$G$500,MATCH(F19,Components!$I$2:$I$500,0))))</f>
        <v>CA</v>
      </c>
      <c r="N19" s="15" t="str">
        <f t="shared" si="4"/>
        <v>Domestic</v>
      </c>
      <c r="O19" s="15" t="str">
        <f>IF(G19="NOT FOUND","",INDEX(Components!$F$2:$F$500,MATCH(F19,Components!$I$2:$I$500,0)))</f>
        <v>SUP-12</v>
      </c>
      <c r="P19" s="28">
        <f>SUMIFS(Sales!$G$2:$G$500,Sales!$I$2:$I$500,A19)</f>
        <v>366</v>
      </c>
      <c r="Q19" s="29">
        <f t="shared" si="5"/>
        <v>168.35999999999999</v>
      </c>
      <c r="R19" s="15" t="str">
        <f t="shared" si="6"/>
        <v/>
      </c>
      <c r="S19" s="15" t="str">
        <f t="shared" si="7"/>
        <v>OK</v>
      </c>
    </row>
    <row r="20" spans="1:19" x14ac:dyDescent="0.3">
      <c r="A20" s="12" t="s">
        <v>110</v>
      </c>
      <c r="B20" s="12">
        <v>10</v>
      </c>
      <c r="C20" s="12" t="s">
        <v>176</v>
      </c>
      <c r="D20" s="25">
        <v>0.38500000000000001</v>
      </c>
      <c r="E20" s="12" t="s">
        <v>66</v>
      </c>
      <c r="F20" s="15" t="str">
        <f t="shared" si="0"/>
        <v>CMT-GU</v>
      </c>
      <c r="G20" s="15" t="str">
        <f>IFERROR(INDEX(Components!$B$2:$B$500,MATCH(F20,Components!$I$2:$I$500,0)),"NOT FOUND")</f>
        <v>Portland cement Type GU</v>
      </c>
      <c r="H20" s="15" t="str">
        <f>IF(G20="NOT FOUND","",INDEX(Components!$C$2:$C$500,MATCH(F20,Components!$I$2:$I$500,0)))</f>
        <v>T</v>
      </c>
      <c r="I20" s="26">
        <f t="shared" si="1"/>
        <v>1</v>
      </c>
      <c r="J20" s="27">
        <f t="shared" si="2"/>
        <v>0.38500000000000001</v>
      </c>
      <c r="K20" s="24">
        <f>IF(G20="NOT FOUND","",INDEX(Components!$J$2:$J$500,MATCH(F20,Components!$I$2:$I$500,0)))</f>
        <v>235</v>
      </c>
      <c r="L20" s="24">
        <f t="shared" si="3"/>
        <v>90.475000000000009</v>
      </c>
      <c r="M20" s="15" t="str">
        <f>IF(G20="NOT FOUND","",IF(INDEX(Components!$G$2:$G$500,MATCH(F20,Components!$I$2:$I$500,0))="","UNKNOWN",INDEX(Components!$G$2:$G$500,MATCH(F20,Components!$I$2:$I$500,0))))</f>
        <v>CA</v>
      </c>
      <c r="N20" s="15" t="str">
        <f t="shared" si="4"/>
        <v>Domestic</v>
      </c>
      <c r="O20" s="15" t="str">
        <f>IF(G20="NOT FOUND","",INDEX(Components!$F$2:$F$500,MATCH(F20,Components!$I$2:$I$500,0)))</f>
        <v>SUP-01</v>
      </c>
      <c r="P20" s="28">
        <f>SUMIFS(Sales!$G$2:$G$500,Sales!$I$2:$I$500,A20)</f>
        <v>504</v>
      </c>
      <c r="Q20" s="29">
        <f t="shared" si="5"/>
        <v>45599.4</v>
      </c>
      <c r="R20" s="15" t="str">
        <f t="shared" si="6"/>
        <v/>
      </c>
      <c r="S20" s="15" t="str">
        <f t="shared" si="7"/>
        <v>OK</v>
      </c>
    </row>
    <row r="21" spans="1:19" x14ac:dyDescent="0.3">
      <c r="A21" s="12" t="s">
        <v>110</v>
      </c>
      <c r="B21" s="12">
        <v>20</v>
      </c>
      <c r="C21" s="12" t="s">
        <v>179</v>
      </c>
      <c r="D21" s="25">
        <v>7.6999999999999999E-2</v>
      </c>
      <c r="E21" s="12" t="s">
        <v>66</v>
      </c>
      <c r="F21" s="15" t="str">
        <f t="shared" si="0"/>
        <v>SCM-FA</v>
      </c>
      <c r="G21" s="15" t="str">
        <f>IFERROR(INDEX(Components!$B$2:$B$500,MATCH(F21,Components!$I$2:$I$500,0)),"NOT FOUND")</f>
        <v>Fly ash Class F</v>
      </c>
      <c r="H21" s="15" t="str">
        <f>IF(G21="NOT FOUND","",INDEX(Components!$C$2:$C$500,MATCH(F21,Components!$I$2:$I$500,0)))</f>
        <v>T</v>
      </c>
      <c r="I21" s="26">
        <f t="shared" si="1"/>
        <v>1</v>
      </c>
      <c r="J21" s="27">
        <f t="shared" si="2"/>
        <v>7.6999999999999999E-2</v>
      </c>
      <c r="K21" s="24">
        <f>IF(G21="NOT FOUND","",INDEX(Components!$J$2:$J$500,MATCH(F21,Components!$I$2:$I$500,0)))</f>
        <v>98.640000000000015</v>
      </c>
      <c r="L21" s="24">
        <f t="shared" si="3"/>
        <v>7.5952800000000007</v>
      </c>
      <c r="M21" s="15" t="str">
        <f>IF(G21="NOT FOUND","",IF(INDEX(Components!$G$2:$G$500,MATCH(F21,Components!$I$2:$I$500,0))="","UNKNOWN",INDEX(Components!$G$2:$G$500,MATCH(F21,Components!$I$2:$I$500,0))))</f>
        <v>US</v>
      </c>
      <c r="N21" s="15" t="str">
        <f t="shared" si="4"/>
        <v>Imported</v>
      </c>
      <c r="O21" s="15" t="str">
        <f>IF(G21="NOT FOUND","",INDEX(Components!$F$2:$F$500,MATCH(F21,Components!$I$2:$I$500,0)))</f>
        <v>SUP-02</v>
      </c>
      <c r="P21" s="28">
        <f>SUMIFS(Sales!$G$2:$G$500,Sales!$I$2:$I$500,A21)</f>
        <v>504</v>
      </c>
      <c r="Q21" s="29">
        <f t="shared" si="5"/>
        <v>3828.0211200000003</v>
      </c>
      <c r="R21" s="15" t="str">
        <f t="shared" si="6"/>
        <v/>
      </c>
      <c r="S21" s="15" t="str">
        <f t="shared" si="7"/>
        <v>OK</v>
      </c>
    </row>
    <row r="22" spans="1:19" x14ac:dyDescent="0.3">
      <c r="A22" s="12" t="s">
        <v>110</v>
      </c>
      <c r="B22" s="12">
        <v>30</v>
      </c>
      <c r="C22" s="12" t="s">
        <v>182</v>
      </c>
      <c r="D22" s="25">
        <v>1.155</v>
      </c>
      <c r="E22" s="12" t="s">
        <v>66</v>
      </c>
      <c r="F22" s="15" t="str">
        <f t="shared" si="0"/>
        <v>AGG-20</v>
      </c>
      <c r="G22" s="15" t="str">
        <f>IFERROR(INDEX(Components!$B$2:$B$500,MATCH(F22,Components!$I$2:$I$500,0)),"NOT FOUND")</f>
        <v>Coarse aggregate 20 mm</v>
      </c>
      <c r="H22" s="15" t="str">
        <f>IF(G22="NOT FOUND","",INDEX(Components!$C$2:$C$500,MATCH(F22,Components!$I$2:$I$500,0)))</f>
        <v>T</v>
      </c>
      <c r="I22" s="26">
        <f t="shared" si="1"/>
        <v>1</v>
      </c>
      <c r="J22" s="27">
        <f t="shared" si="2"/>
        <v>1.155</v>
      </c>
      <c r="K22" s="24">
        <f>IF(G22="NOT FOUND","",INDEX(Components!$J$2:$J$500,MATCH(F22,Components!$I$2:$I$500,0)))</f>
        <v>28</v>
      </c>
      <c r="L22" s="24">
        <f t="shared" si="3"/>
        <v>32.340000000000003</v>
      </c>
      <c r="M22" s="15" t="str">
        <f>IF(G22="NOT FOUND","",IF(INDEX(Components!$G$2:$G$500,MATCH(F22,Components!$I$2:$I$500,0))="","UNKNOWN",INDEX(Components!$G$2:$G$500,MATCH(F22,Components!$I$2:$I$500,0))))</f>
        <v>CA</v>
      </c>
      <c r="N22" s="15" t="str">
        <f t="shared" si="4"/>
        <v>Domestic</v>
      </c>
      <c r="O22" s="15" t="str">
        <f>IF(G22="NOT FOUND","",INDEX(Components!$F$2:$F$500,MATCH(F22,Components!$I$2:$I$500,0)))</f>
        <v>SUP-03</v>
      </c>
      <c r="P22" s="28">
        <f>SUMIFS(Sales!$G$2:$G$500,Sales!$I$2:$I$500,A22)</f>
        <v>504</v>
      </c>
      <c r="Q22" s="29">
        <f t="shared" si="5"/>
        <v>16299.360000000002</v>
      </c>
      <c r="R22" s="15" t="str">
        <f t="shared" si="6"/>
        <v/>
      </c>
      <c r="S22" s="15" t="str">
        <f t="shared" si="7"/>
        <v>OK</v>
      </c>
    </row>
    <row r="23" spans="1:19" x14ac:dyDescent="0.3">
      <c r="A23" s="12" t="s">
        <v>110</v>
      </c>
      <c r="B23" s="12">
        <v>40</v>
      </c>
      <c r="C23" s="12" t="s">
        <v>185</v>
      </c>
      <c r="D23" s="25">
        <v>0.82499999999999996</v>
      </c>
      <c r="E23" s="12" t="s">
        <v>66</v>
      </c>
      <c r="F23" s="15" t="str">
        <f t="shared" si="0"/>
        <v>AGG-SND</v>
      </c>
      <c r="G23" s="15" t="str">
        <f>IFERROR(INDEX(Components!$B$2:$B$500,MATCH(F23,Components!$I$2:$I$500,0)),"NOT FOUND")</f>
        <v>Concrete sand</v>
      </c>
      <c r="H23" s="15" t="str">
        <f>IF(G23="NOT FOUND","",INDEX(Components!$C$2:$C$500,MATCH(F23,Components!$I$2:$I$500,0)))</f>
        <v>T</v>
      </c>
      <c r="I23" s="26">
        <f t="shared" si="1"/>
        <v>1</v>
      </c>
      <c r="J23" s="27">
        <f t="shared" si="2"/>
        <v>0.82499999999999996</v>
      </c>
      <c r="K23" s="24">
        <f>IF(G23="NOT FOUND","",INDEX(Components!$J$2:$J$500,MATCH(F23,Components!$I$2:$I$500,0)))</f>
        <v>24</v>
      </c>
      <c r="L23" s="24">
        <f t="shared" si="3"/>
        <v>19.799999999999997</v>
      </c>
      <c r="M23" s="15" t="str">
        <f>IF(G23="NOT FOUND","",IF(INDEX(Components!$G$2:$G$500,MATCH(F23,Components!$I$2:$I$500,0))="","UNKNOWN",INDEX(Components!$G$2:$G$500,MATCH(F23,Components!$I$2:$I$500,0))))</f>
        <v>CA</v>
      </c>
      <c r="N23" s="15" t="str">
        <f t="shared" si="4"/>
        <v>Domestic</v>
      </c>
      <c r="O23" s="15" t="str">
        <f>IF(G23="NOT FOUND","",INDEX(Components!$F$2:$F$500,MATCH(F23,Components!$I$2:$I$500,0)))</f>
        <v>SUP-03</v>
      </c>
      <c r="P23" s="28">
        <f>SUMIFS(Sales!$G$2:$G$500,Sales!$I$2:$I$500,A23)</f>
        <v>504</v>
      </c>
      <c r="Q23" s="29">
        <f t="shared" si="5"/>
        <v>9979.1999999999989</v>
      </c>
      <c r="R23" s="15" t="str">
        <f t="shared" si="6"/>
        <v/>
      </c>
      <c r="S23" s="15" t="str">
        <f t="shared" si="7"/>
        <v>OK</v>
      </c>
    </row>
    <row r="24" spans="1:19" x14ac:dyDescent="0.3">
      <c r="A24" s="12" t="s">
        <v>110</v>
      </c>
      <c r="B24" s="12">
        <v>50</v>
      </c>
      <c r="C24" s="12" t="s">
        <v>188</v>
      </c>
      <c r="D24" s="25">
        <v>2.2000000000000002</v>
      </c>
      <c r="E24" s="12" t="s">
        <v>190</v>
      </c>
      <c r="F24" s="15" t="str">
        <f t="shared" si="0"/>
        <v>ADM-SP</v>
      </c>
      <c r="G24" s="15" t="str">
        <f>IFERROR(INDEX(Components!$B$2:$B$500,MATCH(F24,Components!$I$2:$I$500,0)),"NOT FOUND")</f>
        <v>Superplasticizer admixture</v>
      </c>
      <c r="H24" s="15" t="str">
        <f>IF(G24="NOT FOUND","",INDEX(Components!$C$2:$C$500,MATCH(F24,Components!$I$2:$I$500,0)))</f>
        <v>L</v>
      </c>
      <c r="I24" s="26">
        <f t="shared" si="1"/>
        <v>1</v>
      </c>
      <c r="J24" s="27">
        <f t="shared" si="2"/>
        <v>2.2000000000000002</v>
      </c>
      <c r="K24" s="24">
        <f>IF(G24="NOT FOUND","",INDEX(Components!$J$2:$J$500,MATCH(F24,Components!$I$2:$I$500,0)))</f>
        <v>4.2470000000000008</v>
      </c>
      <c r="L24" s="24">
        <f t="shared" si="3"/>
        <v>9.3434000000000026</v>
      </c>
      <c r="M24" s="15" t="str">
        <f>IF(G24="NOT FOUND","",IF(INDEX(Components!$G$2:$G$500,MATCH(F24,Components!$I$2:$I$500,0))="","UNKNOWN",INDEX(Components!$G$2:$G$500,MATCH(F24,Components!$I$2:$I$500,0))))</f>
        <v>US</v>
      </c>
      <c r="N24" s="15" t="str">
        <f t="shared" si="4"/>
        <v>Imported</v>
      </c>
      <c r="O24" s="15" t="str">
        <f>IF(G24="NOT FOUND","",INDEX(Components!$F$2:$F$500,MATCH(F24,Components!$I$2:$I$500,0)))</f>
        <v>SUP-04</v>
      </c>
      <c r="P24" s="28">
        <f>SUMIFS(Sales!$G$2:$G$500,Sales!$I$2:$I$500,A24)</f>
        <v>504</v>
      </c>
      <c r="Q24" s="29">
        <f t="shared" si="5"/>
        <v>4709.0736000000015</v>
      </c>
      <c r="R24" s="15" t="str">
        <f t="shared" si="6"/>
        <v/>
      </c>
      <c r="S24" s="15" t="str">
        <f t="shared" si="7"/>
        <v>OK</v>
      </c>
    </row>
    <row r="25" spans="1:19" x14ac:dyDescent="0.3">
      <c r="A25" s="12" t="s">
        <v>110</v>
      </c>
      <c r="B25" s="12">
        <v>60</v>
      </c>
      <c r="C25" s="12" t="s">
        <v>192</v>
      </c>
      <c r="D25" s="25">
        <v>0.44</v>
      </c>
      <c r="E25" s="12" t="s">
        <v>190</v>
      </c>
      <c r="F25" s="15" t="str">
        <f t="shared" si="0"/>
        <v>ADM-AE</v>
      </c>
      <c r="G25" s="15" t="str">
        <f>IFERROR(INDEX(Components!$B$2:$B$500,MATCH(F25,Components!$I$2:$I$500,0)),"NOT FOUND")</f>
        <v>Air-entraining admixture</v>
      </c>
      <c r="H25" s="15" t="str">
        <f>IF(G25="NOT FOUND","",INDEX(Components!$C$2:$C$500,MATCH(F25,Components!$I$2:$I$500,0)))</f>
        <v>L</v>
      </c>
      <c r="I25" s="26">
        <f t="shared" si="1"/>
        <v>1</v>
      </c>
      <c r="J25" s="27">
        <f t="shared" si="2"/>
        <v>0.44</v>
      </c>
      <c r="K25" s="24">
        <f>IF(G25="NOT FOUND","",INDEX(Components!$J$2:$J$500,MATCH(F25,Components!$I$2:$I$500,0)))</f>
        <v>3.2880000000000003</v>
      </c>
      <c r="L25" s="24">
        <f t="shared" si="3"/>
        <v>1.4467200000000002</v>
      </c>
      <c r="M25" s="15" t="str">
        <f>IF(G25="NOT FOUND","",IF(INDEX(Components!$G$2:$G$500,MATCH(F25,Components!$I$2:$I$500,0))="","UNKNOWN",INDEX(Components!$G$2:$G$500,MATCH(F25,Components!$I$2:$I$500,0))))</f>
        <v>US</v>
      </c>
      <c r="N25" s="15" t="str">
        <f t="shared" si="4"/>
        <v>Imported</v>
      </c>
      <c r="O25" s="15" t="str">
        <f>IF(G25="NOT FOUND","",INDEX(Components!$F$2:$F$500,MATCH(F25,Components!$I$2:$I$500,0)))</f>
        <v>SUP-04</v>
      </c>
      <c r="P25" s="28">
        <f>SUMIFS(Sales!$G$2:$G$500,Sales!$I$2:$I$500,A25)</f>
        <v>504</v>
      </c>
      <c r="Q25" s="29">
        <f t="shared" si="5"/>
        <v>729.14688000000012</v>
      </c>
      <c r="R25" s="15" t="str">
        <f t="shared" si="6"/>
        <v/>
      </c>
      <c r="S25" s="15" t="str">
        <f t="shared" si="7"/>
        <v>OK</v>
      </c>
    </row>
    <row r="26" spans="1:19" x14ac:dyDescent="0.3">
      <c r="A26" s="12" t="s">
        <v>110</v>
      </c>
      <c r="B26" s="12">
        <v>70</v>
      </c>
      <c r="C26" s="12" t="s">
        <v>198</v>
      </c>
      <c r="D26" s="25">
        <v>95</v>
      </c>
      <c r="E26" s="12" t="s">
        <v>62</v>
      </c>
      <c r="F26" s="15" t="str">
        <f t="shared" si="0"/>
        <v>RB-15M</v>
      </c>
      <c r="G26" s="15" t="str">
        <f>IFERROR(INDEX(Components!$B$2:$B$500,MATCH(F26,Components!$I$2:$I$500,0)),"NOT FOUND")</f>
        <v>Rebar 15M</v>
      </c>
      <c r="H26" s="15" t="str">
        <f>IF(G26="NOT FOUND","",INDEX(Components!$C$2:$C$500,MATCH(F26,Components!$I$2:$I$500,0)))</f>
        <v>KG</v>
      </c>
      <c r="I26" s="26">
        <f t="shared" si="1"/>
        <v>1</v>
      </c>
      <c r="J26" s="27">
        <f t="shared" si="2"/>
        <v>95</v>
      </c>
      <c r="K26" s="24">
        <f>IF(G26="NOT FOUND","",INDEX(Components!$J$2:$J$500,MATCH(F26,Components!$I$2:$I$500,0)))</f>
        <v>1.31</v>
      </c>
      <c r="L26" s="24">
        <f t="shared" si="3"/>
        <v>124.45</v>
      </c>
      <c r="M26" s="15" t="str">
        <f>IF(G26="NOT FOUND","",IF(INDEX(Components!$G$2:$G$500,MATCH(F26,Components!$I$2:$I$500,0))="","UNKNOWN",INDEX(Components!$G$2:$G$500,MATCH(F26,Components!$I$2:$I$500,0))))</f>
        <v>CA</v>
      </c>
      <c r="N26" s="15" t="str">
        <f t="shared" si="4"/>
        <v>Domestic</v>
      </c>
      <c r="O26" s="15" t="str">
        <f>IF(G26="NOT FOUND","",INDEX(Components!$F$2:$F$500,MATCH(F26,Components!$I$2:$I$500,0)))</f>
        <v>SUP-05</v>
      </c>
      <c r="P26" s="28">
        <f>SUMIFS(Sales!$G$2:$G$500,Sales!$I$2:$I$500,A26)</f>
        <v>504</v>
      </c>
      <c r="Q26" s="29">
        <f t="shared" si="5"/>
        <v>62722.8</v>
      </c>
      <c r="R26" s="15" t="str">
        <f t="shared" si="6"/>
        <v/>
      </c>
      <c r="S26" s="15" t="str">
        <f t="shared" si="7"/>
        <v>OK</v>
      </c>
    </row>
    <row r="27" spans="1:19" x14ac:dyDescent="0.3">
      <c r="A27" s="12" t="s">
        <v>110</v>
      </c>
      <c r="B27" s="12">
        <v>80</v>
      </c>
      <c r="C27" s="12" t="s">
        <v>213</v>
      </c>
      <c r="D27" s="25">
        <v>1</v>
      </c>
      <c r="E27" s="12" t="s">
        <v>106</v>
      </c>
      <c r="F27" s="15" t="str">
        <f t="shared" si="0"/>
        <v>GSK-1200</v>
      </c>
      <c r="G27" s="15" t="str">
        <f>IFERROR(INDEX(Components!$B$2:$B$500,MATCH(F27,Components!$I$2:$I$500,0)),"NOT FOUND")</f>
        <v>Rubber pipe gasket 1200 mm</v>
      </c>
      <c r="H27" s="15" t="str">
        <f>IF(G27="NOT FOUND","",INDEX(Components!$C$2:$C$500,MATCH(F27,Components!$I$2:$I$500,0)))</f>
        <v>EA</v>
      </c>
      <c r="I27" s="26">
        <f t="shared" si="1"/>
        <v>1</v>
      </c>
      <c r="J27" s="27">
        <f t="shared" si="2"/>
        <v>1</v>
      </c>
      <c r="K27" s="24">
        <f>IF(G27="NOT FOUND","",INDEX(Components!$J$2:$J$500,MATCH(F27,Components!$I$2:$I$500,0)))</f>
        <v>46.580000000000005</v>
      </c>
      <c r="L27" s="24">
        <f t="shared" si="3"/>
        <v>46.580000000000005</v>
      </c>
      <c r="M27" s="15" t="str">
        <f>IF(G27="NOT FOUND","",IF(INDEX(Components!$G$2:$G$500,MATCH(F27,Components!$I$2:$I$500,0))="","UNKNOWN",INDEX(Components!$G$2:$G$500,MATCH(F27,Components!$I$2:$I$500,0))))</f>
        <v>UNKNOWN</v>
      </c>
      <c r="N27" s="15" t="str">
        <f t="shared" si="4"/>
        <v>Unknown</v>
      </c>
      <c r="O27" s="15" t="str">
        <f>IF(G27="NOT FOUND","",INDEX(Components!$F$2:$F$500,MATCH(F27,Components!$I$2:$I$500,0)))</f>
        <v>SUP-09</v>
      </c>
      <c r="P27" s="28">
        <f>SUMIFS(Sales!$G$2:$G$500,Sales!$I$2:$I$500,A27)</f>
        <v>504</v>
      </c>
      <c r="Q27" s="29">
        <f t="shared" si="5"/>
        <v>23476.320000000003</v>
      </c>
      <c r="R27" s="15" t="str">
        <f t="shared" si="6"/>
        <v xml:space="preserve">Missing origin; </v>
      </c>
      <c r="S27" s="15" t="str">
        <f t="shared" si="7"/>
        <v>CHECK</v>
      </c>
    </row>
    <row r="28" spans="1:19" x14ac:dyDescent="0.3">
      <c r="A28" s="12" t="s">
        <v>110</v>
      </c>
      <c r="B28" s="12">
        <v>90</v>
      </c>
      <c r="C28" s="12" t="s">
        <v>215</v>
      </c>
      <c r="D28" s="25">
        <v>2</v>
      </c>
      <c r="E28" s="12" t="s">
        <v>106</v>
      </c>
      <c r="F28" s="15" t="str">
        <f t="shared" si="0"/>
        <v>LFT-ANC</v>
      </c>
      <c r="G28" s="15" t="str">
        <f>IFERROR(INDEX(Components!$B$2:$B$500,MATCH(F28,Components!$I$2:$I$500,0)),"NOT FOUND")</f>
        <v>Lifting anchor 2.5 t</v>
      </c>
      <c r="H28" s="15" t="str">
        <f>IF(G28="NOT FOUND","",INDEX(Components!$C$2:$C$500,MATCH(F28,Components!$I$2:$I$500,0)))</f>
        <v>EA</v>
      </c>
      <c r="I28" s="26">
        <f t="shared" si="1"/>
        <v>1</v>
      </c>
      <c r="J28" s="27">
        <f t="shared" si="2"/>
        <v>2</v>
      </c>
      <c r="K28" s="24">
        <f>IF(G28="NOT FOUND","",INDEX(Components!$J$2:$J$500,MATCH(F28,Components!$I$2:$I$500,0)))</f>
        <v>6.8999999999999995</v>
      </c>
      <c r="L28" s="24">
        <f t="shared" si="3"/>
        <v>13.799999999999999</v>
      </c>
      <c r="M28" s="15" t="str">
        <f>IF(G28="NOT FOUND","",IF(INDEX(Components!$G$2:$G$500,MATCH(F28,Components!$I$2:$I$500,0))="","UNKNOWN",INDEX(Components!$G$2:$G$500,MATCH(F28,Components!$I$2:$I$500,0))))</f>
        <v>DE</v>
      </c>
      <c r="N28" s="15" t="str">
        <f t="shared" si="4"/>
        <v>Imported</v>
      </c>
      <c r="O28" s="15" t="str">
        <f>IF(G28="NOT FOUND","",INDEX(Components!$F$2:$F$500,MATCH(F28,Components!$I$2:$I$500,0)))</f>
        <v>SUP-10</v>
      </c>
      <c r="P28" s="28">
        <f>SUMIFS(Sales!$G$2:$G$500,Sales!$I$2:$I$500,A28)</f>
        <v>504</v>
      </c>
      <c r="Q28" s="29">
        <f t="shared" si="5"/>
        <v>6955.2</v>
      </c>
      <c r="R28" s="15" t="str">
        <f t="shared" si="6"/>
        <v/>
      </c>
      <c r="S28" s="15" t="str">
        <f t="shared" si="7"/>
        <v>OK</v>
      </c>
    </row>
    <row r="29" spans="1:19" x14ac:dyDescent="0.3">
      <c r="A29" s="12" t="s">
        <v>110</v>
      </c>
      <c r="B29" s="12">
        <v>100</v>
      </c>
      <c r="C29" s="12" t="s">
        <v>227</v>
      </c>
      <c r="D29" s="25">
        <v>0.5</v>
      </c>
      <c r="E29" s="12" t="s">
        <v>190</v>
      </c>
      <c r="F29" s="15" t="str">
        <f t="shared" si="0"/>
        <v>FRM-OIL</v>
      </c>
      <c r="G29" s="15" t="str">
        <f>IFERROR(INDEX(Components!$B$2:$B$500,MATCH(F29,Components!$I$2:$I$500,0)),"NOT FOUND")</f>
        <v>Form release agent</v>
      </c>
      <c r="H29" s="15" t="str">
        <f>IF(G29="NOT FOUND","",INDEX(Components!$C$2:$C$500,MATCH(F29,Components!$I$2:$I$500,0)))</f>
        <v>L</v>
      </c>
      <c r="I29" s="26">
        <f t="shared" si="1"/>
        <v>1</v>
      </c>
      <c r="J29" s="27">
        <f t="shared" si="2"/>
        <v>0.5</v>
      </c>
      <c r="K29" s="24">
        <f>IF(G29="NOT FOUND","",INDEX(Components!$J$2:$J$500,MATCH(F29,Components!$I$2:$I$500,0)))</f>
        <v>1.1499999999999999</v>
      </c>
      <c r="L29" s="24">
        <f t="shared" si="3"/>
        <v>0.57499999999999996</v>
      </c>
      <c r="M29" s="15" t="str">
        <f>IF(G29="NOT FOUND","",IF(INDEX(Components!$G$2:$G$500,MATCH(F29,Components!$I$2:$I$500,0))="","UNKNOWN",INDEX(Components!$G$2:$G$500,MATCH(F29,Components!$I$2:$I$500,0))))</f>
        <v>CA</v>
      </c>
      <c r="N29" s="15" t="str">
        <f t="shared" si="4"/>
        <v>Domestic</v>
      </c>
      <c r="O29" s="15" t="str">
        <f>IF(G29="NOT FOUND","",INDEX(Components!$F$2:$F$500,MATCH(F29,Components!$I$2:$I$500,0)))</f>
        <v>SUP-12</v>
      </c>
      <c r="P29" s="28">
        <f>SUMIFS(Sales!$G$2:$G$500,Sales!$I$2:$I$500,A29)</f>
        <v>504</v>
      </c>
      <c r="Q29" s="29">
        <f t="shared" si="5"/>
        <v>289.79999999999995</v>
      </c>
      <c r="R29" s="15" t="str">
        <f t="shared" si="6"/>
        <v/>
      </c>
      <c r="S29" s="15" t="str">
        <f t="shared" si="7"/>
        <v>OK</v>
      </c>
    </row>
    <row r="30" spans="1:19" x14ac:dyDescent="0.3">
      <c r="A30" s="12" t="s">
        <v>112</v>
      </c>
      <c r="B30" s="12">
        <v>10</v>
      </c>
      <c r="C30" s="12" t="s">
        <v>176</v>
      </c>
      <c r="D30" s="25">
        <v>0.91</v>
      </c>
      <c r="E30" s="12" t="s">
        <v>66</v>
      </c>
      <c r="F30" s="15" t="str">
        <f t="shared" si="0"/>
        <v>CMT-GU</v>
      </c>
      <c r="G30" s="15" t="str">
        <f>IFERROR(INDEX(Components!$B$2:$B$500,MATCH(F30,Components!$I$2:$I$500,0)),"NOT FOUND")</f>
        <v>Portland cement Type GU</v>
      </c>
      <c r="H30" s="15" t="str">
        <f>IF(G30="NOT FOUND","",INDEX(Components!$C$2:$C$500,MATCH(F30,Components!$I$2:$I$500,0)))</f>
        <v>T</v>
      </c>
      <c r="I30" s="26">
        <f t="shared" si="1"/>
        <v>1</v>
      </c>
      <c r="J30" s="27">
        <f t="shared" si="2"/>
        <v>0.91</v>
      </c>
      <c r="K30" s="24">
        <f>IF(G30="NOT FOUND","",INDEX(Components!$J$2:$J$500,MATCH(F30,Components!$I$2:$I$500,0)))</f>
        <v>235</v>
      </c>
      <c r="L30" s="24">
        <f t="shared" si="3"/>
        <v>213.85</v>
      </c>
      <c r="M30" s="15" t="str">
        <f>IF(G30="NOT FOUND","",IF(INDEX(Components!$G$2:$G$500,MATCH(F30,Components!$I$2:$I$500,0))="","UNKNOWN",INDEX(Components!$G$2:$G$500,MATCH(F30,Components!$I$2:$I$500,0))))</f>
        <v>CA</v>
      </c>
      <c r="N30" s="15" t="str">
        <f t="shared" si="4"/>
        <v>Domestic</v>
      </c>
      <c r="O30" s="15" t="str">
        <f>IF(G30="NOT FOUND","",INDEX(Components!$F$2:$F$500,MATCH(F30,Components!$I$2:$I$500,0)))</f>
        <v>SUP-01</v>
      </c>
      <c r="P30" s="28">
        <f>SUMIFS(Sales!$G$2:$G$500,Sales!$I$2:$I$500,A30)</f>
        <v>127</v>
      </c>
      <c r="Q30" s="29">
        <f t="shared" si="5"/>
        <v>27158.95</v>
      </c>
      <c r="R30" s="15" t="str">
        <f t="shared" si="6"/>
        <v/>
      </c>
      <c r="S30" s="15" t="str">
        <f t="shared" si="7"/>
        <v>OK</v>
      </c>
    </row>
    <row r="31" spans="1:19" x14ac:dyDescent="0.3">
      <c r="A31" s="12" t="s">
        <v>112</v>
      </c>
      <c r="B31" s="12">
        <v>20</v>
      </c>
      <c r="C31" s="12" t="s">
        <v>179</v>
      </c>
      <c r="D31" s="25">
        <v>0.182</v>
      </c>
      <c r="E31" s="12" t="s">
        <v>66</v>
      </c>
      <c r="F31" s="15" t="str">
        <f t="shared" si="0"/>
        <v>SCM-FA</v>
      </c>
      <c r="G31" s="15" t="str">
        <f>IFERROR(INDEX(Components!$B$2:$B$500,MATCH(F31,Components!$I$2:$I$500,0)),"NOT FOUND")</f>
        <v>Fly ash Class F</v>
      </c>
      <c r="H31" s="15" t="str">
        <f>IF(G31="NOT FOUND","",INDEX(Components!$C$2:$C$500,MATCH(F31,Components!$I$2:$I$500,0)))</f>
        <v>T</v>
      </c>
      <c r="I31" s="26">
        <f t="shared" si="1"/>
        <v>1</v>
      </c>
      <c r="J31" s="27">
        <f t="shared" si="2"/>
        <v>0.182</v>
      </c>
      <c r="K31" s="24">
        <f>IF(G31="NOT FOUND","",INDEX(Components!$J$2:$J$500,MATCH(F31,Components!$I$2:$I$500,0)))</f>
        <v>98.640000000000015</v>
      </c>
      <c r="L31" s="24">
        <f t="shared" si="3"/>
        <v>17.952480000000001</v>
      </c>
      <c r="M31" s="15" t="str">
        <f>IF(G31="NOT FOUND","",IF(INDEX(Components!$G$2:$G$500,MATCH(F31,Components!$I$2:$I$500,0))="","UNKNOWN",INDEX(Components!$G$2:$G$500,MATCH(F31,Components!$I$2:$I$500,0))))</f>
        <v>US</v>
      </c>
      <c r="N31" s="15" t="str">
        <f t="shared" si="4"/>
        <v>Imported</v>
      </c>
      <c r="O31" s="15" t="str">
        <f>IF(G31="NOT FOUND","",INDEX(Components!$F$2:$F$500,MATCH(F31,Components!$I$2:$I$500,0)))</f>
        <v>SUP-02</v>
      </c>
      <c r="P31" s="28">
        <f>SUMIFS(Sales!$G$2:$G$500,Sales!$I$2:$I$500,A31)</f>
        <v>127</v>
      </c>
      <c r="Q31" s="29">
        <f t="shared" si="5"/>
        <v>2279.9649600000002</v>
      </c>
      <c r="R31" s="15" t="str">
        <f t="shared" si="6"/>
        <v/>
      </c>
      <c r="S31" s="15" t="str">
        <f t="shared" si="7"/>
        <v>OK</v>
      </c>
    </row>
    <row r="32" spans="1:19" x14ac:dyDescent="0.3">
      <c r="A32" s="12" t="s">
        <v>112</v>
      </c>
      <c r="B32" s="12">
        <v>30</v>
      </c>
      <c r="C32" s="12" t="s">
        <v>182</v>
      </c>
      <c r="D32" s="25">
        <v>2.73</v>
      </c>
      <c r="E32" s="12" t="s">
        <v>66</v>
      </c>
      <c r="F32" s="15" t="str">
        <f t="shared" si="0"/>
        <v>AGG-20</v>
      </c>
      <c r="G32" s="15" t="str">
        <f>IFERROR(INDEX(Components!$B$2:$B$500,MATCH(F32,Components!$I$2:$I$500,0)),"NOT FOUND")</f>
        <v>Coarse aggregate 20 mm</v>
      </c>
      <c r="H32" s="15" t="str">
        <f>IF(G32="NOT FOUND","",INDEX(Components!$C$2:$C$500,MATCH(F32,Components!$I$2:$I$500,0)))</f>
        <v>T</v>
      </c>
      <c r="I32" s="26">
        <f t="shared" si="1"/>
        <v>1</v>
      </c>
      <c r="J32" s="27">
        <f t="shared" si="2"/>
        <v>2.73</v>
      </c>
      <c r="K32" s="24">
        <f>IF(G32="NOT FOUND","",INDEX(Components!$J$2:$J$500,MATCH(F32,Components!$I$2:$I$500,0)))</f>
        <v>28</v>
      </c>
      <c r="L32" s="24">
        <f t="shared" si="3"/>
        <v>76.44</v>
      </c>
      <c r="M32" s="15" t="str">
        <f>IF(G32="NOT FOUND","",IF(INDEX(Components!$G$2:$G$500,MATCH(F32,Components!$I$2:$I$500,0))="","UNKNOWN",INDEX(Components!$G$2:$G$500,MATCH(F32,Components!$I$2:$I$500,0))))</f>
        <v>CA</v>
      </c>
      <c r="N32" s="15" t="str">
        <f t="shared" si="4"/>
        <v>Domestic</v>
      </c>
      <c r="O32" s="15" t="str">
        <f>IF(G32="NOT FOUND","",INDEX(Components!$F$2:$F$500,MATCH(F32,Components!$I$2:$I$500,0)))</f>
        <v>SUP-03</v>
      </c>
      <c r="P32" s="28">
        <f>SUMIFS(Sales!$G$2:$G$500,Sales!$I$2:$I$500,A32)</f>
        <v>127</v>
      </c>
      <c r="Q32" s="29">
        <f t="shared" si="5"/>
        <v>9707.8799999999992</v>
      </c>
      <c r="R32" s="15" t="str">
        <f t="shared" si="6"/>
        <v/>
      </c>
      <c r="S32" s="15" t="str">
        <f t="shared" si="7"/>
        <v>OK</v>
      </c>
    </row>
    <row r="33" spans="1:19" x14ac:dyDescent="0.3">
      <c r="A33" s="12" t="s">
        <v>112</v>
      </c>
      <c r="B33" s="12">
        <v>40</v>
      </c>
      <c r="C33" s="12" t="s">
        <v>185</v>
      </c>
      <c r="D33" s="25">
        <v>1.95</v>
      </c>
      <c r="E33" s="12" t="s">
        <v>66</v>
      </c>
      <c r="F33" s="15" t="str">
        <f t="shared" si="0"/>
        <v>AGG-SND</v>
      </c>
      <c r="G33" s="15" t="str">
        <f>IFERROR(INDEX(Components!$B$2:$B$500,MATCH(F33,Components!$I$2:$I$500,0)),"NOT FOUND")</f>
        <v>Concrete sand</v>
      </c>
      <c r="H33" s="15" t="str">
        <f>IF(G33="NOT FOUND","",INDEX(Components!$C$2:$C$500,MATCH(F33,Components!$I$2:$I$500,0)))</f>
        <v>T</v>
      </c>
      <c r="I33" s="26">
        <f t="shared" si="1"/>
        <v>1</v>
      </c>
      <c r="J33" s="27">
        <f t="shared" si="2"/>
        <v>1.95</v>
      </c>
      <c r="K33" s="24">
        <f>IF(G33="NOT FOUND","",INDEX(Components!$J$2:$J$500,MATCH(F33,Components!$I$2:$I$500,0)))</f>
        <v>24</v>
      </c>
      <c r="L33" s="24">
        <f t="shared" si="3"/>
        <v>46.8</v>
      </c>
      <c r="M33" s="15" t="str">
        <f>IF(G33="NOT FOUND","",IF(INDEX(Components!$G$2:$G$500,MATCH(F33,Components!$I$2:$I$500,0))="","UNKNOWN",INDEX(Components!$G$2:$G$500,MATCH(F33,Components!$I$2:$I$500,0))))</f>
        <v>CA</v>
      </c>
      <c r="N33" s="15" t="str">
        <f t="shared" si="4"/>
        <v>Domestic</v>
      </c>
      <c r="O33" s="15" t="str">
        <f>IF(G33="NOT FOUND","",INDEX(Components!$F$2:$F$500,MATCH(F33,Components!$I$2:$I$500,0)))</f>
        <v>SUP-03</v>
      </c>
      <c r="P33" s="28">
        <f>SUMIFS(Sales!$G$2:$G$500,Sales!$I$2:$I$500,A33)</f>
        <v>127</v>
      </c>
      <c r="Q33" s="29">
        <f t="shared" si="5"/>
        <v>5943.5999999999995</v>
      </c>
      <c r="R33" s="15" t="str">
        <f t="shared" si="6"/>
        <v/>
      </c>
      <c r="S33" s="15" t="str">
        <f t="shared" si="7"/>
        <v>OK</v>
      </c>
    </row>
    <row r="34" spans="1:19" x14ac:dyDescent="0.3">
      <c r="A34" s="12" t="s">
        <v>112</v>
      </c>
      <c r="B34" s="12">
        <v>50</v>
      </c>
      <c r="C34" s="12" t="s">
        <v>188</v>
      </c>
      <c r="D34" s="25">
        <v>5.2</v>
      </c>
      <c r="E34" s="12" t="s">
        <v>190</v>
      </c>
      <c r="F34" s="15" t="str">
        <f t="shared" ref="F34:F65" si="8">UPPER(TRIM(C34))</f>
        <v>ADM-SP</v>
      </c>
      <c r="G34" s="15" t="str">
        <f>IFERROR(INDEX(Components!$B$2:$B$500,MATCH(F34,Components!$I$2:$I$500,0)),"NOT FOUND")</f>
        <v>Superplasticizer admixture</v>
      </c>
      <c r="H34" s="15" t="str">
        <f>IF(G34="NOT FOUND","",INDEX(Components!$C$2:$C$500,MATCH(F34,Components!$I$2:$I$500,0)))</f>
        <v>L</v>
      </c>
      <c r="I34" s="26">
        <f t="shared" ref="I34:I65" si="9">IF(G34="NOT FOUND","",IF(E34=H34,1,IFERROR(INDEX(Unit_Factor,MATCH(E34&amp;"&gt;"&amp;H34,Unit_Key,0)),"NO FACTOR")))</f>
        <v>1</v>
      </c>
      <c r="J34" s="27">
        <f t="shared" ref="J34:J65" si="10">IF(ISNUMBER(I34),D34*I34,"")</f>
        <v>5.2</v>
      </c>
      <c r="K34" s="24">
        <f>IF(G34="NOT FOUND","",INDEX(Components!$J$2:$J$500,MATCH(F34,Components!$I$2:$I$500,0)))</f>
        <v>4.2470000000000008</v>
      </c>
      <c r="L34" s="24">
        <f t="shared" ref="L34:L65" si="11">IF(AND(ISNUMBER(J34),ISNUMBER(K34)),J34*K34,"")</f>
        <v>22.084400000000006</v>
      </c>
      <c r="M34" s="15" t="str">
        <f>IF(G34="NOT FOUND","",IF(INDEX(Components!$G$2:$G$500,MATCH(F34,Components!$I$2:$I$500,0))="","UNKNOWN",INDEX(Components!$G$2:$G$500,MATCH(F34,Components!$I$2:$I$500,0))))</f>
        <v>US</v>
      </c>
      <c r="N34" s="15" t="str">
        <f t="shared" ref="N34:N65" si="12">IF(M34="","",IF(M34="UNKNOWN","Unknown",IF(M34=Home_Country,"Domestic","Imported")))</f>
        <v>Imported</v>
      </c>
      <c r="O34" s="15" t="str">
        <f>IF(G34="NOT FOUND","",INDEX(Components!$F$2:$F$500,MATCH(F34,Components!$I$2:$I$500,0)))</f>
        <v>SUP-04</v>
      </c>
      <c r="P34" s="28">
        <f>SUMIFS(Sales!$G$2:$G$500,Sales!$I$2:$I$500,A34)</f>
        <v>127</v>
      </c>
      <c r="Q34" s="29">
        <f t="shared" ref="Q34:Q65" si="13">IF(ISNUMBER(L34),L34*P34,"")</f>
        <v>2804.7188000000006</v>
      </c>
      <c r="R34" s="15" t="str">
        <f t="shared" ref="R34:R65" si="14">IF(G34="NOT FOUND","Unknown component; ","")&amp;IF(I34="NO FACTOR","No unit conversion; ","")&amp;IF(AND(G34&lt;&gt;"NOT FOUND",K34=""),"Missing cost; ","")&amp;IF(M34="UNKNOWN","Missing origin; ","")</f>
        <v/>
      </c>
      <c r="S34" s="15" t="str">
        <f t="shared" ref="S34:S65" si="15">IF(R34="","OK","CHECK")</f>
        <v>OK</v>
      </c>
    </row>
    <row r="35" spans="1:19" x14ac:dyDescent="0.3">
      <c r="A35" s="12" t="s">
        <v>112</v>
      </c>
      <c r="B35" s="12">
        <v>60</v>
      </c>
      <c r="C35" s="12" t="s">
        <v>192</v>
      </c>
      <c r="D35" s="25">
        <v>1.04</v>
      </c>
      <c r="E35" s="12" t="s">
        <v>190</v>
      </c>
      <c r="F35" s="15" t="str">
        <f t="shared" si="8"/>
        <v>ADM-AE</v>
      </c>
      <c r="G35" s="15" t="str">
        <f>IFERROR(INDEX(Components!$B$2:$B$500,MATCH(F35,Components!$I$2:$I$500,0)),"NOT FOUND")</f>
        <v>Air-entraining admixture</v>
      </c>
      <c r="H35" s="15" t="str">
        <f>IF(G35="NOT FOUND","",INDEX(Components!$C$2:$C$500,MATCH(F35,Components!$I$2:$I$500,0)))</f>
        <v>L</v>
      </c>
      <c r="I35" s="26">
        <f t="shared" si="9"/>
        <v>1</v>
      </c>
      <c r="J35" s="27">
        <f t="shared" si="10"/>
        <v>1.04</v>
      </c>
      <c r="K35" s="24">
        <f>IF(G35="NOT FOUND","",INDEX(Components!$J$2:$J$500,MATCH(F35,Components!$I$2:$I$500,0)))</f>
        <v>3.2880000000000003</v>
      </c>
      <c r="L35" s="24">
        <f t="shared" si="11"/>
        <v>3.4195200000000003</v>
      </c>
      <c r="M35" s="15" t="str">
        <f>IF(G35="NOT FOUND","",IF(INDEX(Components!$G$2:$G$500,MATCH(F35,Components!$I$2:$I$500,0))="","UNKNOWN",INDEX(Components!$G$2:$G$500,MATCH(F35,Components!$I$2:$I$500,0))))</f>
        <v>US</v>
      </c>
      <c r="N35" s="15" t="str">
        <f t="shared" si="12"/>
        <v>Imported</v>
      </c>
      <c r="O35" s="15" t="str">
        <f>IF(G35="NOT FOUND","",INDEX(Components!$F$2:$F$500,MATCH(F35,Components!$I$2:$I$500,0)))</f>
        <v>SUP-04</v>
      </c>
      <c r="P35" s="28">
        <f>SUMIFS(Sales!$G$2:$G$500,Sales!$I$2:$I$500,A35)</f>
        <v>127</v>
      </c>
      <c r="Q35" s="29">
        <f t="shared" si="13"/>
        <v>434.27904000000007</v>
      </c>
      <c r="R35" s="15" t="str">
        <f t="shared" si="14"/>
        <v/>
      </c>
      <c r="S35" s="15" t="str">
        <f t="shared" si="15"/>
        <v>OK</v>
      </c>
    </row>
    <row r="36" spans="1:19" x14ac:dyDescent="0.3">
      <c r="A36" s="12" t="s">
        <v>112</v>
      </c>
      <c r="B36" s="12">
        <v>70</v>
      </c>
      <c r="C36" s="12" t="s">
        <v>200</v>
      </c>
      <c r="D36" s="25">
        <v>260</v>
      </c>
      <c r="E36" s="12" t="s">
        <v>62</v>
      </c>
      <c r="F36" s="15" t="str">
        <f t="shared" si="8"/>
        <v>RB-20M</v>
      </c>
      <c r="G36" s="15" t="str">
        <f>IFERROR(INDEX(Components!$B$2:$B$500,MATCH(F36,Components!$I$2:$I$500,0)),"NOT FOUND")</f>
        <v>Rebar 20M</v>
      </c>
      <c r="H36" s="15" t="str">
        <f>IF(G36="NOT FOUND","",INDEX(Components!$C$2:$C$500,MATCH(F36,Components!$I$2:$I$500,0)))</f>
        <v>KG</v>
      </c>
      <c r="I36" s="26">
        <f t="shared" si="9"/>
        <v>1</v>
      </c>
      <c r="J36" s="27">
        <f t="shared" si="10"/>
        <v>260</v>
      </c>
      <c r="K36" s="24">
        <f>IF(G36="NOT FOUND","",INDEX(Components!$J$2:$J$500,MATCH(F36,Components!$I$2:$I$500,0)))</f>
        <v>1.2741000000000002</v>
      </c>
      <c r="L36" s="24">
        <f t="shared" si="11"/>
        <v>331.26600000000008</v>
      </c>
      <c r="M36" s="15" t="str">
        <f>IF(G36="NOT FOUND","",IF(INDEX(Components!$G$2:$G$500,MATCH(F36,Components!$I$2:$I$500,0))="","UNKNOWN",INDEX(Components!$G$2:$G$500,MATCH(F36,Components!$I$2:$I$500,0))))</f>
        <v>TR</v>
      </c>
      <c r="N36" s="15" t="str">
        <f t="shared" si="12"/>
        <v>Imported</v>
      </c>
      <c r="O36" s="15" t="str">
        <f>IF(G36="NOT FOUND","",INDEX(Components!$F$2:$F$500,MATCH(F36,Components!$I$2:$I$500,0)))</f>
        <v>SUP-06</v>
      </c>
      <c r="P36" s="28">
        <f>SUMIFS(Sales!$G$2:$G$500,Sales!$I$2:$I$500,A36)</f>
        <v>127</v>
      </c>
      <c r="Q36" s="29">
        <f t="shared" si="13"/>
        <v>42070.782000000007</v>
      </c>
      <c r="R36" s="15" t="str">
        <f t="shared" si="14"/>
        <v/>
      </c>
      <c r="S36" s="15" t="str">
        <f t="shared" si="15"/>
        <v>OK</v>
      </c>
    </row>
    <row r="37" spans="1:19" x14ac:dyDescent="0.3">
      <c r="A37" s="12" t="s">
        <v>112</v>
      </c>
      <c r="B37" s="12">
        <v>80</v>
      </c>
      <c r="C37" s="12" t="s">
        <v>198</v>
      </c>
      <c r="D37" s="25">
        <v>80</v>
      </c>
      <c r="E37" s="12" t="s">
        <v>62</v>
      </c>
      <c r="F37" s="15" t="str">
        <f t="shared" si="8"/>
        <v>RB-15M</v>
      </c>
      <c r="G37" s="15" t="str">
        <f>IFERROR(INDEX(Components!$B$2:$B$500,MATCH(F37,Components!$I$2:$I$500,0)),"NOT FOUND")</f>
        <v>Rebar 15M</v>
      </c>
      <c r="H37" s="15" t="str">
        <f>IF(G37="NOT FOUND","",INDEX(Components!$C$2:$C$500,MATCH(F37,Components!$I$2:$I$500,0)))</f>
        <v>KG</v>
      </c>
      <c r="I37" s="26">
        <f t="shared" si="9"/>
        <v>1</v>
      </c>
      <c r="J37" s="27">
        <f t="shared" si="10"/>
        <v>80</v>
      </c>
      <c r="K37" s="24">
        <f>IF(G37="NOT FOUND","",INDEX(Components!$J$2:$J$500,MATCH(F37,Components!$I$2:$I$500,0)))</f>
        <v>1.31</v>
      </c>
      <c r="L37" s="24">
        <f t="shared" si="11"/>
        <v>104.80000000000001</v>
      </c>
      <c r="M37" s="15" t="str">
        <f>IF(G37="NOT FOUND","",IF(INDEX(Components!$G$2:$G$500,MATCH(F37,Components!$I$2:$I$500,0))="","UNKNOWN",INDEX(Components!$G$2:$G$500,MATCH(F37,Components!$I$2:$I$500,0))))</f>
        <v>CA</v>
      </c>
      <c r="N37" s="15" t="str">
        <f t="shared" si="12"/>
        <v>Domestic</v>
      </c>
      <c r="O37" s="15" t="str">
        <f>IF(G37="NOT FOUND","",INDEX(Components!$F$2:$F$500,MATCH(F37,Components!$I$2:$I$500,0)))</f>
        <v>SUP-05</v>
      </c>
      <c r="P37" s="28">
        <f>SUMIFS(Sales!$G$2:$G$500,Sales!$I$2:$I$500,A37)</f>
        <v>127</v>
      </c>
      <c r="Q37" s="29">
        <f t="shared" si="13"/>
        <v>13309.600000000002</v>
      </c>
      <c r="R37" s="15" t="str">
        <f t="shared" si="14"/>
        <v/>
      </c>
      <c r="S37" s="15" t="str">
        <f t="shared" si="15"/>
        <v>OK</v>
      </c>
    </row>
    <row r="38" spans="1:19" x14ac:dyDescent="0.3">
      <c r="A38" s="12" t="s">
        <v>112</v>
      </c>
      <c r="B38" s="12">
        <v>90</v>
      </c>
      <c r="C38" s="12" t="s">
        <v>215</v>
      </c>
      <c r="D38" s="25">
        <v>4</v>
      </c>
      <c r="E38" s="12" t="s">
        <v>106</v>
      </c>
      <c r="F38" s="15" t="str">
        <f t="shared" si="8"/>
        <v>LFT-ANC</v>
      </c>
      <c r="G38" s="15" t="str">
        <f>IFERROR(INDEX(Components!$B$2:$B$500,MATCH(F38,Components!$I$2:$I$500,0)),"NOT FOUND")</f>
        <v>Lifting anchor 2.5 t</v>
      </c>
      <c r="H38" s="15" t="str">
        <f>IF(G38="NOT FOUND","",INDEX(Components!$C$2:$C$500,MATCH(F38,Components!$I$2:$I$500,0)))</f>
        <v>EA</v>
      </c>
      <c r="I38" s="26">
        <f t="shared" si="9"/>
        <v>1</v>
      </c>
      <c r="J38" s="27">
        <f t="shared" si="10"/>
        <v>4</v>
      </c>
      <c r="K38" s="24">
        <f>IF(G38="NOT FOUND","",INDEX(Components!$J$2:$J$500,MATCH(F38,Components!$I$2:$I$500,0)))</f>
        <v>6.8999999999999995</v>
      </c>
      <c r="L38" s="24">
        <f t="shared" si="11"/>
        <v>27.599999999999998</v>
      </c>
      <c r="M38" s="15" t="str">
        <f>IF(G38="NOT FOUND","",IF(INDEX(Components!$G$2:$G$500,MATCH(F38,Components!$I$2:$I$500,0))="","UNKNOWN",INDEX(Components!$G$2:$G$500,MATCH(F38,Components!$I$2:$I$500,0))))</f>
        <v>DE</v>
      </c>
      <c r="N38" s="15" t="str">
        <f t="shared" si="12"/>
        <v>Imported</v>
      </c>
      <c r="O38" s="15" t="str">
        <f>IF(G38="NOT FOUND","",INDEX(Components!$F$2:$F$500,MATCH(F38,Components!$I$2:$I$500,0)))</f>
        <v>SUP-10</v>
      </c>
      <c r="P38" s="28">
        <f>SUMIFS(Sales!$G$2:$G$500,Sales!$I$2:$I$500,A38)</f>
        <v>127</v>
      </c>
      <c r="Q38" s="29">
        <f t="shared" si="13"/>
        <v>3505.2</v>
      </c>
      <c r="R38" s="15" t="str">
        <f t="shared" si="14"/>
        <v/>
      </c>
      <c r="S38" s="15" t="str">
        <f t="shared" si="15"/>
        <v>OK</v>
      </c>
    </row>
    <row r="39" spans="1:19" x14ac:dyDescent="0.3">
      <c r="A39" s="12" t="s">
        <v>112</v>
      </c>
      <c r="B39" s="12">
        <v>100</v>
      </c>
      <c r="C39" s="12" t="s">
        <v>223</v>
      </c>
      <c r="D39" s="25">
        <v>8</v>
      </c>
      <c r="E39" s="12" t="s">
        <v>225</v>
      </c>
      <c r="F39" s="15" t="str">
        <f t="shared" si="8"/>
        <v>SEAL-BUT</v>
      </c>
      <c r="G39" s="15" t="str">
        <f>IFERROR(INDEX(Components!$B$2:$B$500,MATCH(F39,Components!$I$2:$I$500,0)),"NOT FOUND")</f>
        <v>Butyl joint sealant</v>
      </c>
      <c r="H39" s="15" t="str">
        <f>IF(G39="NOT FOUND","",INDEX(Components!$C$2:$C$500,MATCH(F39,Components!$I$2:$I$500,0)))</f>
        <v>M</v>
      </c>
      <c r="I39" s="26">
        <f t="shared" si="9"/>
        <v>1</v>
      </c>
      <c r="J39" s="27">
        <f t="shared" si="10"/>
        <v>8</v>
      </c>
      <c r="K39" s="24" t="str">
        <f>IF(G39="NOT FOUND","",INDEX(Components!$J$2:$J$500,MATCH(F39,Components!$I$2:$I$500,0)))</f>
        <v/>
      </c>
      <c r="L39" s="24" t="str">
        <f t="shared" si="11"/>
        <v/>
      </c>
      <c r="M39" s="15" t="str">
        <f>IF(G39="NOT FOUND","",IF(INDEX(Components!$G$2:$G$500,MATCH(F39,Components!$I$2:$I$500,0))="","UNKNOWN",INDEX(Components!$G$2:$G$500,MATCH(F39,Components!$I$2:$I$500,0))))</f>
        <v>CA</v>
      </c>
      <c r="N39" s="15" t="str">
        <f t="shared" si="12"/>
        <v>Domestic</v>
      </c>
      <c r="O39" s="15" t="str">
        <f>IF(G39="NOT FOUND","",INDEX(Components!$F$2:$F$500,MATCH(F39,Components!$I$2:$I$500,0)))</f>
        <v>SUP-12</v>
      </c>
      <c r="P39" s="28">
        <f>SUMIFS(Sales!$G$2:$G$500,Sales!$I$2:$I$500,A39)</f>
        <v>127</v>
      </c>
      <c r="Q39" s="29" t="str">
        <f t="shared" si="13"/>
        <v/>
      </c>
      <c r="R39" s="15" t="str">
        <f t="shared" si="14"/>
        <v xml:space="preserve">Missing cost; </v>
      </c>
      <c r="S39" s="15" t="str">
        <f t="shared" si="15"/>
        <v>CHECK</v>
      </c>
    </row>
    <row r="40" spans="1:19" x14ac:dyDescent="0.3">
      <c r="A40" s="12" t="s">
        <v>112</v>
      </c>
      <c r="B40" s="12">
        <v>110</v>
      </c>
      <c r="C40" s="12" t="s">
        <v>227</v>
      </c>
      <c r="D40" s="25">
        <v>1</v>
      </c>
      <c r="E40" s="12" t="s">
        <v>190</v>
      </c>
      <c r="F40" s="15" t="str">
        <f t="shared" si="8"/>
        <v>FRM-OIL</v>
      </c>
      <c r="G40" s="15" t="str">
        <f>IFERROR(INDEX(Components!$B$2:$B$500,MATCH(F40,Components!$I$2:$I$500,0)),"NOT FOUND")</f>
        <v>Form release agent</v>
      </c>
      <c r="H40" s="15" t="str">
        <f>IF(G40="NOT FOUND","",INDEX(Components!$C$2:$C$500,MATCH(F40,Components!$I$2:$I$500,0)))</f>
        <v>L</v>
      </c>
      <c r="I40" s="26">
        <f t="shared" si="9"/>
        <v>1</v>
      </c>
      <c r="J40" s="27">
        <f t="shared" si="10"/>
        <v>1</v>
      </c>
      <c r="K40" s="24">
        <f>IF(G40="NOT FOUND","",INDEX(Components!$J$2:$J$500,MATCH(F40,Components!$I$2:$I$500,0)))</f>
        <v>1.1499999999999999</v>
      </c>
      <c r="L40" s="24">
        <f t="shared" si="11"/>
        <v>1.1499999999999999</v>
      </c>
      <c r="M40" s="15" t="str">
        <f>IF(G40="NOT FOUND","",IF(INDEX(Components!$G$2:$G$500,MATCH(F40,Components!$I$2:$I$500,0))="","UNKNOWN",INDEX(Components!$G$2:$G$500,MATCH(F40,Components!$I$2:$I$500,0))))</f>
        <v>CA</v>
      </c>
      <c r="N40" s="15" t="str">
        <f t="shared" si="12"/>
        <v>Domestic</v>
      </c>
      <c r="O40" s="15" t="str">
        <f>IF(G40="NOT FOUND","",INDEX(Components!$F$2:$F$500,MATCH(F40,Components!$I$2:$I$500,0)))</f>
        <v>SUP-12</v>
      </c>
      <c r="P40" s="28">
        <f>SUMIFS(Sales!$G$2:$G$500,Sales!$I$2:$I$500,A40)</f>
        <v>127</v>
      </c>
      <c r="Q40" s="29">
        <f t="shared" si="13"/>
        <v>146.04999999999998</v>
      </c>
      <c r="R40" s="15" t="str">
        <f t="shared" si="14"/>
        <v/>
      </c>
      <c r="S40" s="15" t="str">
        <f t="shared" si="15"/>
        <v>OK</v>
      </c>
    </row>
    <row r="41" spans="1:19" x14ac:dyDescent="0.3">
      <c r="A41" s="12" t="s">
        <v>115</v>
      </c>
      <c r="B41" s="12">
        <v>10</v>
      </c>
      <c r="C41" s="12" t="s">
        <v>176</v>
      </c>
      <c r="D41" s="25">
        <v>0.26250000000000001</v>
      </c>
      <c r="E41" s="12" t="s">
        <v>66</v>
      </c>
      <c r="F41" s="15" t="str">
        <f t="shared" si="8"/>
        <v>CMT-GU</v>
      </c>
      <c r="G41" s="15" t="str">
        <f>IFERROR(INDEX(Components!$B$2:$B$500,MATCH(F41,Components!$I$2:$I$500,0)),"NOT FOUND")</f>
        <v>Portland cement Type GU</v>
      </c>
      <c r="H41" s="15" t="str">
        <f>IF(G41="NOT FOUND","",INDEX(Components!$C$2:$C$500,MATCH(F41,Components!$I$2:$I$500,0)))</f>
        <v>T</v>
      </c>
      <c r="I41" s="26">
        <f t="shared" si="9"/>
        <v>1</v>
      </c>
      <c r="J41" s="27">
        <f t="shared" si="10"/>
        <v>0.26250000000000001</v>
      </c>
      <c r="K41" s="24">
        <f>IF(G41="NOT FOUND","",INDEX(Components!$J$2:$J$500,MATCH(F41,Components!$I$2:$I$500,0)))</f>
        <v>235</v>
      </c>
      <c r="L41" s="24">
        <f t="shared" si="11"/>
        <v>61.6875</v>
      </c>
      <c r="M41" s="15" t="str">
        <f>IF(G41="NOT FOUND","",IF(INDEX(Components!$G$2:$G$500,MATCH(F41,Components!$I$2:$I$500,0))="","UNKNOWN",INDEX(Components!$G$2:$G$500,MATCH(F41,Components!$I$2:$I$500,0))))</f>
        <v>CA</v>
      </c>
      <c r="N41" s="15" t="str">
        <f t="shared" si="12"/>
        <v>Domestic</v>
      </c>
      <c r="O41" s="15" t="str">
        <f>IF(G41="NOT FOUND","",INDEX(Components!$F$2:$F$500,MATCH(F41,Components!$I$2:$I$500,0)))</f>
        <v>SUP-01</v>
      </c>
      <c r="P41" s="28">
        <f>SUMIFS(Sales!$G$2:$G$500,Sales!$I$2:$I$500,A41)</f>
        <v>78</v>
      </c>
      <c r="Q41" s="29">
        <f t="shared" si="13"/>
        <v>4811.625</v>
      </c>
      <c r="R41" s="15" t="str">
        <f t="shared" si="14"/>
        <v/>
      </c>
      <c r="S41" s="15" t="str">
        <f t="shared" si="15"/>
        <v>OK</v>
      </c>
    </row>
    <row r="42" spans="1:19" x14ac:dyDescent="0.3">
      <c r="A42" s="12" t="s">
        <v>115</v>
      </c>
      <c r="B42" s="12">
        <v>20</v>
      </c>
      <c r="C42" s="12" t="s">
        <v>179</v>
      </c>
      <c r="D42" s="25">
        <v>5.2499999999999998E-2</v>
      </c>
      <c r="E42" s="12" t="s">
        <v>66</v>
      </c>
      <c r="F42" s="15" t="str">
        <f t="shared" si="8"/>
        <v>SCM-FA</v>
      </c>
      <c r="G42" s="15" t="str">
        <f>IFERROR(INDEX(Components!$B$2:$B$500,MATCH(F42,Components!$I$2:$I$500,0)),"NOT FOUND")</f>
        <v>Fly ash Class F</v>
      </c>
      <c r="H42" s="15" t="str">
        <f>IF(G42="NOT FOUND","",INDEX(Components!$C$2:$C$500,MATCH(F42,Components!$I$2:$I$500,0)))</f>
        <v>T</v>
      </c>
      <c r="I42" s="26">
        <f t="shared" si="9"/>
        <v>1</v>
      </c>
      <c r="J42" s="27">
        <f t="shared" si="10"/>
        <v>5.2499999999999998E-2</v>
      </c>
      <c r="K42" s="24">
        <f>IF(G42="NOT FOUND","",INDEX(Components!$J$2:$J$500,MATCH(F42,Components!$I$2:$I$500,0)))</f>
        <v>98.640000000000015</v>
      </c>
      <c r="L42" s="24">
        <f t="shared" si="11"/>
        <v>5.1786000000000003</v>
      </c>
      <c r="M42" s="15" t="str">
        <f>IF(G42="NOT FOUND","",IF(INDEX(Components!$G$2:$G$500,MATCH(F42,Components!$I$2:$I$500,0))="","UNKNOWN",INDEX(Components!$G$2:$G$500,MATCH(F42,Components!$I$2:$I$500,0))))</f>
        <v>US</v>
      </c>
      <c r="N42" s="15" t="str">
        <f t="shared" si="12"/>
        <v>Imported</v>
      </c>
      <c r="O42" s="15" t="str">
        <f>IF(G42="NOT FOUND","",INDEX(Components!$F$2:$F$500,MATCH(F42,Components!$I$2:$I$500,0)))</f>
        <v>SUP-02</v>
      </c>
      <c r="P42" s="28">
        <f>SUMIFS(Sales!$G$2:$G$500,Sales!$I$2:$I$500,A42)</f>
        <v>78</v>
      </c>
      <c r="Q42" s="29">
        <f t="shared" si="13"/>
        <v>403.93080000000003</v>
      </c>
      <c r="R42" s="15" t="str">
        <f t="shared" si="14"/>
        <v/>
      </c>
      <c r="S42" s="15" t="str">
        <f t="shared" si="15"/>
        <v>OK</v>
      </c>
    </row>
    <row r="43" spans="1:19" x14ac:dyDescent="0.3">
      <c r="A43" s="12" t="s">
        <v>115</v>
      </c>
      <c r="B43" s="12">
        <v>30</v>
      </c>
      <c r="C43" s="12" t="s">
        <v>182</v>
      </c>
      <c r="D43" s="25">
        <v>0.78749999999999998</v>
      </c>
      <c r="E43" s="12" t="s">
        <v>66</v>
      </c>
      <c r="F43" s="15" t="str">
        <f t="shared" si="8"/>
        <v>AGG-20</v>
      </c>
      <c r="G43" s="15" t="str">
        <f>IFERROR(INDEX(Components!$B$2:$B$500,MATCH(F43,Components!$I$2:$I$500,0)),"NOT FOUND")</f>
        <v>Coarse aggregate 20 mm</v>
      </c>
      <c r="H43" s="15" t="str">
        <f>IF(G43="NOT FOUND","",INDEX(Components!$C$2:$C$500,MATCH(F43,Components!$I$2:$I$500,0)))</f>
        <v>T</v>
      </c>
      <c r="I43" s="26">
        <f t="shared" si="9"/>
        <v>1</v>
      </c>
      <c r="J43" s="27">
        <f t="shared" si="10"/>
        <v>0.78749999999999998</v>
      </c>
      <c r="K43" s="24">
        <f>IF(G43="NOT FOUND","",INDEX(Components!$J$2:$J$500,MATCH(F43,Components!$I$2:$I$500,0)))</f>
        <v>28</v>
      </c>
      <c r="L43" s="24">
        <f t="shared" si="11"/>
        <v>22.05</v>
      </c>
      <c r="M43" s="15" t="str">
        <f>IF(G43="NOT FOUND","",IF(INDEX(Components!$G$2:$G$500,MATCH(F43,Components!$I$2:$I$500,0))="","UNKNOWN",INDEX(Components!$G$2:$G$500,MATCH(F43,Components!$I$2:$I$500,0))))</f>
        <v>CA</v>
      </c>
      <c r="N43" s="15" t="str">
        <f t="shared" si="12"/>
        <v>Domestic</v>
      </c>
      <c r="O43" s="15" t="str">
        <f>IF(G43="NOT FOUND","",INDEX(Components!$F$2:$F$500,MATCH(F43,Components!$I$2:$I$500,0)))</f>
        <v>SUP-03</v>
      </c>
      <c r="P43" s="28">
        <f>SUMIFS(Sales!$G$2:$G$500,Sales!$I$2:$I$500,A43)</f>
        <v>78</v>
      </c>
      <c r="Q43" s="29">
        <f t="shared" si="13"/>
        <v>1719.9</v>
      </c>
      <c r="R43" s="15" t="str">
        <f t="shared" si="14"/>
        <v/>
      </c>
      <c r="S43" s="15" t="str">
        <f t="shared" si="15"/>
        <v>OK</v>
      </c>
    </row>
    <row r="44" spans="1:19" x14ac:dyDescent="0.3">
      <c r="A44" s="12" t="s">
        <v>115</v>
      </c>
      <c r="B44" s="12">
        <v>40</v>
      </c>
      <c r="C44" s="12" t="s">
        <v>185</v>
      </c>
      <c r="D44" s="25">
        <v>0.5625</v>
      </c>
      <c r="E44" s="12" t="s">
        <v>66</v>
      </c>
      <c r="F44" s="15" t="str">
        <f t="shared" si="8"/>
        <v>AGG-SND</v>
      </c>
      <c r="G44" s="15" t="str">
        <f>IFERROR(INDEX(Components!$B$2:$B$500,MATCH(F44,Components!$I$2:$I$500,0)),"NOT FOUND")</f>
        <v>Concrete sand</v>
      </c>
      <c r="H44" s="15" t="str">
        <f>IF(G44="NOT FOUND","",INDEX(Components!$C$2:$C$500,MATCH(F44,Components!$I$2:$I$500,0)))</f>
        <v>T</v>
      </c>
      <c r="I44" s="26">
        <f t="shared" si="9"/>
        <v>1</v>
      </c>
      <c r="J44" s="27">
        <f t="shared" si="10"/>
        <v>0.5625</v>
      </c>
      <c r="K44" s="24">
        <f>IF(G44="NOT FOUND","",INDEX(Components!$J$2:$J$500,MATCH(F44,Components!$I$2:$I$500,0)))</f>
        <v>24</v>
      </c>
      <c r="L44" s="24">
        <f t="shared" si="11"/>
        <v>13.5</v>
      </c>
      <c r="M44" s="15" t="str">
        <f>IF(G44="NOT FOUND","",IF(INDEX(Components!$G$2:$G$500,MATCH(F44,Components!$I$2:$I$500,0))="","UNKNOWN",INDEX(Components!$G$2:$G$500,MATCH(F44,Components!$I$2:$I$500,0))))</f>
        <v>CA</v>
      </c>
      <c r="N44" s="15" t="str">
        <f t="shared" si="12"/>
        <v>Domestic</v>
      </c>
      <c r="O44" s="15" t="str">
        <f>IF(G44="NOT FOUND","",INDEX(Components!$F$2:$F$500,MATCH(F44,Components!$I$2:$I$500,0)))</f>
        <v>SUP-03</v>
      </c>
      <c r="P44" s="28">
        <f>SUMIFS(Sales!$G$2:$G$500,Sales!$I$2:$I$500,A44)</f>
        <v>78</v>
      </c>
      <c r="Q44" s="29">
        <f t="shared" si="13"/>
        <v>1053</v>
      </c>
      <c r="R44" s="15" t="str">
        <f t="shared" si="14"/>
        <v/>
      </c>
      <c r="S44" s="15" t="str">
        <f t="shared" si="15"/>
        <v>OK</v>
      </c>
    </row>
    <row r="45" spans="1:19" x14ac:dyDescent="0.3">
      <c r="A45" s="12" t="s">
        <v>115</v>
      </c>
      <c r="B45" s="12">
        <v>50</v>
      </c>
      <c r="C45" s="12" t="s">
        <v>188</v>
      </c>
      <c r="D45" s="25">
        <v>1.5</v>
      </c>
      <c r="E45" s="12" t="s">
        <v>190</v>
      </c>
      <c r="F45" s="15" t="str">
        <f t="shared" si="8"/>
        <v>ADM-SP</v>
      </c>
      <c r="G45" s="15" t="str">
        <f>IFERROR(INDEX(Components!$B$2:$B$500,MATCH(F45,Components!$I$2:$I$500,0)),"NOT FOUND")</f>
        <v>Superplasticizer admixture</v>
      </c>
      <c r="H45" s="15" t="str">
        <f>IF(G45="NOT FOUND","",INDEX(Components!$C$2:$C$500,MATCH(F45,Components!$I$2:$I$500,0)))</f>
        <v>L</v>
      </c>
      <c r="I45" s="26">
        <f t="shared" si="9"/>
        <v>1</v>
      </c>
      <c r="J45" s="27">
        <f t="shared" si="10"/>
        <v>1.5</v>
      </c>
      <c r="K45" s="24">
        <f>IF(G45="NOT FOUND","",INDEX(Components!$J$2:$J$500,MATCH(F45,Components!$I$2:$I$500,0)))</f>
        <v>4.2470000000000008</v>
      </c>
      <c r="L45" s="24">
        <f t="shared" si="11"/>
        <v>6.3705000000000016</v>
      </c>
      <c r="M45" s="15" t="str">
        <f>IF(G45="NOT FOUND","",IF(INDEX(Components!$G$2:$G$500,MATCH(F45,Components!$I$2:$I$500,0))="","UNKNOWN",INDEX(Components!$G$2:$G$500,MATCH(F45,Components!$I$2:$I$500,0))))</f>
        <v>US</v>
      </c>
      <c r="N45" s="15" t="str">
        <f t="shared" si="12"/>
        <v>Imported</v>
      </c>
      <c r="O45" s="15" t="str">
        <f>IF(G45="NOT FOUND","",INDEX(Components!$F$2:$F$500,MATCH(F45,Components!$I$2:$I$500,0)))</f>
        <v>SUP-04</v>
      </c>
      <c r="P45" s="28">
        <f>SUMIFS(Sales!$G$2:$G$500,Sales!$I$2:$I$500,A45)</f>
        <v>78</v>
      </c>
      <c r="Q45" s="29">
        <f t="shared" si="13"/>
        <v>496.89900000000011</v>
      </c>
      <c r="R45" s="15" t="str">
        <f t="shared" si="14"/>
        <v/>
      </c>
      <c r="S45" s="15" t="str">
        <f t="shared" si="15"/>
        <v>OK</v>
      </c>
    </row>
    <row r="46" spans="1:19" x14ac:dyDescent="0.3">
      <c r="A46" s="12" t="s">
        <v>115</v>
      </c>
      <c r="B46" s="12">
        <v>60</v>
      </c>
      <c r="C46" s="12" t="s">
        <v>192</v>
      </c>
      <c r="D46" s="25">
        <v>0.3</v>
      </c>
      <c r="E46" s="12" t="s">
        <v>190</v>
      </c>
      <c r="F46" s="15" t="str">
        <f t="shared" si="8"/>
        <v>ADM-AE</v>
      </c>
      <c r="G46" s="15" t="str">
        <f>IFERROR(INDEX(Components!$B$2:$B$500,MATCH(F46,Components!$I$2:$I$500,0)),"NOT FOUND")</f>
        <v>Air-entraining admixture</v>
      </c>
      <c r="H46" s="15" t="str">
        <f>IF(G46="NOT FOUND","",INDEX(Components!$C$2:$C$500,MATCH(F46,Components!$I$2:$I$500,0)))</f>
        <v>L</v>
      </c>
      <c r="I46" s="26">
        <f t="shared" si="9"/>
        <v>1</v>
      </c>
      <c r="J46" s="27">
        <f t="shared" si="10"/>
        <v>0.3</v>
      </c>
      <c r="K46" s="24">
        <f>IF(G46="NOT FOUND","",INDEX(Components!$J$2:$J$500,MATCH(F46,Components!$I$2:$I$500,0)))</f>
        <v>3.2880000000000003</v>
      </c>
      <c r="L46" s="24">
        <f t="shared" si="11"/>
        <v>0.98640000000000005</v>
      </c>
      <c r="M46" s="15" t="str">
        <f>IF(G46="NOT FOUND","",IF(INDEX(Components!$G$2:$G$500,MATCH(F46,Components!$I$2:$I$500,0))="","UNKNOWN",INDEX(Components!$G$2:$G$500,MATCH(F46,Components!$I$2:$I$500,0))))</f>
        <v>US</v>
      </c>
      <c r="N46" s="15" t="str">
        <f t="shared" si="12"/>
        <v>Imported</v>
      </c>
      <c r="O46" s="15" t="str">
        <f>IF(G46="NOT FOUND","",INDEX(Components!$F$2:$F$500,MATCH(F46,Components!$I$2:$I$500,0)))</f>
        <v>SUP-04</v>
      </c>
      <c r="P46" s="28">
        <f>SUMIFS(Sales!$G$2:$G$500,Sales!$I$2:$I$500,A46)</f>
        <v>78</v>
      </c>
      <c r="Q46" s="29">
        <f t="shared" si="13"/>
        <v>76.9392</v>
      </c>
      <c r="R46" s="15" t="str">
        <f t="shared" si="14"/>
        <v/>
      </c>
      <c r="S46" s="15" t="str">
        <f t="shared" si="15"/>
        <v>OK</v>
      </c>
    </row>
    <row r="47" spans="1:19" x14ac:dyDescent="0.3">
      <c r="A47" s="12" t="s">
        <v>115</v>
      </c>
      <c r="B47" s="12">
        <v>70</v>
      </c>
      <c r="C47" s="12" t="s">
        <v>195</v>
      </c>
      <c r="D47" s="25">
        <v>30</v>
      </c>
      <c r="E47" s="12" t="s">
        <v>62</v>
      </c>
      <c r="F47" s="15" t="str">
        <f t="shared" si="8"/>
        <v>RB-10M</v>
      </c>
      <c r="G47" s="15" t="str">
        <f>IFERROR(INDEX(Components!$B$2:$B$500,MATCH(F47,Components!$I$2:$I$500,0)),"NOT FOUND")</f>
        <v>Rebar 10M</v>
      </c>
      <c r="H47" s="15" t="str">
        <f>IF(G47="NOT FOUND","",INDEX(Components!$C$2:$C$500,MATCH(F47,Components!$I$2:$I$500,0)))</f>
        <v>KG</v>
      </c>
      <c r="I47" s="26">
        <f t="shared" si="9"/>
        <v>1</v>
      </c>
      <c r="J47" s="27">
        <f t="shared" si="10"/>
        <v>30</v>
      </c>
      <c r="K47" s="24">
        <f>IF(G47="NOT FOUND","",INDEX(Components!$J$2:$J$500,MATCH(F47,Components!$I$2:$I$500,0)))</f>
        <v>1.38</v>
      </c>
      <c r="L47" s="24">
        <f t="shared" si="11"/>
        <v>41.4</v>
      </c>
      <c r="M47" s="15" t="str">
        <f>IF(G47="NOT FOUND","",IF(INDEX(Components!$G$2:$G$500,MATCH(F47,Components!$I$2:$I$500,0))="","UNKNOWN",INDEX(Components!$G$2:$G$500,MATCH(F47,Components!$I$2:$I$500,0))))</f>
        <v>CA</v>
      </c>
      <c r="N47" s="15" t="str">
        <f t="shared" si="12"/>
        <v>Domestic</v>
      </c>
      <c r="O47" s="15" t="str">
        <f>IF(G47="NOT FOUND","",INDEX(Components!$F$2:$F$500,MATCH(F47,Components!$I$2:$I$500,0)))</f>
        <v>SUP-05</v>
      </c>
      <c r="P47" s="28">
        <f>SUMIFS(Sales!$G$2:$G$500,Sales!$I$2:$I$500,A47)</f>
        <v>78</v>
      </c>
      <c r="Q47" s="29">
        <f t="shared" si="13"/>
        <v>3229.2</v>
      </c>
      <c r="R47" s="15" t="str">
        <f t="shared" si="14"/>
        <v/>
      </c>
      <c r="S47" s="15" t="str">
        <f t="shared" si="15"/>
        <v>OK</v>
      </c>
    </row>
    <row r="48" spans="1:19" x14ac:dyDescent="0.3">
      <c r="A48" s="12" t="s">
        <v>115</v>
      </c>
      <c r="B48" s="12">
        <v>80</v>
      </c>
      <c r="C48" s="12" t="s">
        <v>215</v>
      </c>
      <c r="D48" s="25">
        <v>2</v>
      </c>
      <c r="E48" s="12" t="s">
        <v>106</v>
      </c>
      <c r="F48" s="15" t="str">
        <f t="shared" si="8"/>
        <v>LFT-ANC</v>
      </c>
      <c r="G48" s="15" t="str">
        <f>IFERROR(INDEX(Components!$B$2:$B$500,MATCH(F48,Components!$I$2:$I$500,0)),"NOT FOUND")</f>
        <v>Lifting anchor 2.5 t</v>
      </c>
      <c r="H48" s="15" t="str">
        <f>IF(G48="NOT FOUND","",INDEX(Components!$C$2:$C$500,MATCH(F48,Components!$I$2:$I$500,0)))</f>
        <v>EA</v>
      </c>
      <c r="I48" s="26">
        <f t="shared" si="9"/>
        <v>1</v>
      </c>
      <c r="J48" s="27">
        <f t="shared" si="10"/>
        <v>2</v>
      </c>
      <c r="K48" s="24">
        <f>IF(G48="NOT FOUND","",INDEX(Components!$J$2:$J$500,MATCH(F48,Components!$I$2:$I$500,0)))</f>
        <v>6.8999999999999995</v>
      </c>
      <c r="L48" s="24">
        <f t="shared" si="11"/>
        <v>13.799999999999999</v>
      </c>
      <c r="M48" s="15" t="str">
        <f>IF(G48="NOT FOUND","",IF(INDEX(Components!$G$2:$G$500,MATCH(F48,Components!$I$2:$I$500,0))="","UNKNOWN",INDEX(Components!$G$2:$G$500,MATCH(F48,Components!$I$2:$I$500,0))))</f>
        <v>DE</v>
      </c>
      <c r="N48" s="15" t="str">
        <f t="shared" si="12"/>
        <v>Imported</v>
      </c>
      <c r="O48" s="15" t="str">
        <f>IF(G48="NOT FOUND","",INDEX(Components!$F$2:$F$500,MATCH(F48,Components!$I$2:$I$500,0)))</f>
        <v>SUP-10</v>
      </c>
      <c r="P48" s="28">
        <f>SUMIFS(Sales!$G$2:$G$500,Sales!$I$2:$I$500,A48)</f>
        <v>78</v>
      </c>
      <c r="Q48" s="29">
        <f t="shared" si="13"/>
        <v>1076.3999999999999</v>
      </c>
      <c r="R48" s="15" t="str">
        <f t="shared" si="14"/>
        <v/>
      </c>
      <c r="S48" s="15" t="str">
        <f t="shared" si="15"/>
        <v>OK</v>
      </c>
    </row>
    <row r="49" spans="1:19" x14ac:dyDescent="0.3">
      <c r="A49" s="12" t="s">
        <v>115</v>
      </c>
      <c r="B49" s="12">
        <v>90</v>
      </c>
      <c r="C49" s="12" t="s">
        <v>227</v>
      </c>
      <c r="D49" s="25">
        <v>0.4</v>
      </c>
      <c r="E49" s="12" t="s">
        <v>190</v>
      </c>
      <c r="F49" s="15" t="str">
        <f t="shared" si="8"/>
        <v>FRM-OIL</v>
      </c>
      <c r="G49" s="15" t="str">
        <f>IFERROR(INDEX(Components!$B$2:$B$500,MATCH(F49,Components!$I$2:$I$500,0)),"NOT FOUND")</f>
        <v>Form release agent</v>
      </c>
      <c r="H49" s="15" t="str">
        <f>IF(G49="NOT FOUND","",INDEX(Components!$C$2:$C$500,MATCH(F49,Components!$I$2:$I$500,0)))</f>
        <v>L</v>
      </c>
      <c r="I49" s="26">
        <f t="shared" si="9"/>
        <v>1</v>
      </c>
      <c r="J49" s="27">
        <f t="shared" si="10"/>
        <v>0.4</v>
      </c>
      <c r="K49" s="24">
        <f>IF(G49="NOT FOUND","",INDEX(Components!$J$2:$J$500,MATCH(F49,Components!$I$2:$I$500,0)))</f>
        <v>1.1499999999999999</v>
      </c>
      <c r="L49" s="24">
        <f t="shared" si="11"/>
        <v>0.45999999999999996</v>
      </c>
      <c r="M49" s="15" t="str">
        <f>IF(G49="NOT FOUND","",IF(INDEX(Components!$G$2:$G$500,MATCH(F49,Components!$I$2:$I$500,0))="","UNKNOWN",INDEX(Components!$G$2:$G$500,MATCH(F49,Components!$I$2:$I$500,0))))</f>
        <v>CA</v>
      </c>
      <c r="N49" s="15" t="str">
        <f t="shared" si="12"/>
        <v>Domestic</v>
      </c>
      <c r="O49" s="15" t="str">
        <f>IF(G49="NOT FOUND","",INDEX(Components!$F$2:$F$500,MATCH(F49,Components!$I$2:$I$500,0)))</f>
        <v>SUP-12</v>
      </c>
      <c r="P49" s="28">
        <f>SUMIFS(Sales!$G$2:$G$500,Sales!$I$2:$I$500,A49)</f>
        <v>78</v>
      </c>
      <c r="Q49" s="29">
        <f t="shared" si="13"/>
        <v>35.879999999999995</v>
      </c>
      <c r="R49" s="15" t="str">
        <f t="shared" si="14"/>
        <v/>
      </c>
      <c r="S49" s="15" t="str">
        <f t="shared" si="15"/>
        <v>OK</v>
      </c>
    </row>
    <row r="50" spans="1:19" x14ac:dyDescent="0.3">
      <c r="A50" s="12" t="s">
        <v>118</v>
      </c>
      <c r="B50" s="12">
        <v>10</v>
      </c>
      <c r="C50" s="12" t="s">
        <v>176</v>
      </c>
      <c r="D50" s="25">
        <v>0.33250000000000002</v>
      </c>
      <c r="E50" s="12" t="s">
        <v>66</v>
      </c>
      <c r="F50" s="15" t="str">
        <f t="shared" si="8"/>
        <v>CMT-GU</v>
      </c>
      <c r="G50" s="15" t="str">
        <f>IFERROR(INDEX(Components!$B$2:$B$500,MATCH(F50,Components!$I$2:$I$500,0)),"NOT FOUND")</f>
        <v>Portland cement Type GU</v>
      </c>
      <c r="H50" s="15" t="str">
        <f>IF(G50="NOT FOUND","",INDEX(Components!$C$2:$C$500,MATCH(F50,Components!$I$2:$I$500,0)))</f>
        <v>T</v>
      </c>
      <c r="I50" s="26">
        <f t="shared" si="9"/>
        <v>1</v>
      </c>
      <c r="J50" s="27">
        <f t="shared" si="10"/>
        <v>0.33250000000000002</v>
      </c>
      <c r="K50" s="24">
        <f>IF(G50="NOT FOUND","",INDEX(Components!$J$2:$J$500,MATCH(F50,Components!$I$2:$I$500,0)))</f>
        <v>235</v>
      </c>
      <c r="L50" s="24">
        <f t="shared" si="11"/>
        <v>78.137500000000003</v>
      </c>
      <c r="M50" s="15" t="str">
        <f>IF(G50="NOT FOUND","",IF(INDEX(Components!$G$2:$G$500,MATCH(F50,Components!$I$2:$I$500,0))="","UNKNOWN",INDEX(Components!$G$2:$G$500,MATCH(F50,Components!$I$2:$I$500,0))))</f>
        <v>CA</v>
      </c>
      <c r="N50" s="15" t="str">
        <f t="shared" si="12"/>
        <v>Domestic</v>
      </c>
      <c r="O50" s="15" t="str">
        <f>IF(G50="NOT FOUND","",INDEX(Components!$F$2:$F$500,MATCH(F50,Components!$I$2:$I$500,0)))</f>
        <v>SUP-01</v>
      </c>
      <c r="P50" s="28">
        <f>SUMIFS(Sales!$G$2:$G$500,Sales!$I$2:$I$500,A50)</f>
        <v>91</v>
      </c>
      <c r="Q50" s="29">
        <f t="shared" si="13"/>
        <v>7110.5124999999998</v>
      </c>
      <c r="R50" s="15" t="str">
        <f t="shared" si="14"/>
        <v/>
      </c>
      <c r="S50" s="15" t="str">
        <f t="shared" si="15"/>
        <v>OK</v>
      </c>
    </row>
    <row r="51" spans="1:19" x14ac:dyDescent="0.3">
      <c r="A51" s="12" t="s">
        <v>118</v>
      </c>
      <c r="B51" s="12">
        <v>20</v>
      </c>
      <c r="C51" s="12" t="s">
        <v>179</v>
      </c>
      <c r="D51" s="25">
        <v>6.6500000000000004E-2</v>
      </c>
      <c r="E51" s="12" t="s">
        <v>66</v>
      </c>
      <c r="F51" s="15" t="str">
        <f t="shared" si="8"/>
        <v>SCM-FA</v>
      </c>
      <c r="G51" s="15" t="str">
        <f>IFERROR(INDEX(Components!$B$2:$B$500,MATCH(F51,Components!$I$2:$I$500,0)),"NOT FOUND")</f>
        <v>Fly ash Class F</v>
      </c>
      <c r="H51" s="15" t="str">
        <f>IF(G51="NOT FOUND","",INDEX(Components!$C$2:$C$500,MATCH(F51,Components!$I$2:$I$500,0)))</f>
        <v>T</v>
      </c>
      <c r="I51" s="26">
        <f t="shared" si="9"/>
        <v>1</v>
      </c>
      <c r="J51" s="27">
        <f t="shared" si="10"/>
        <v>6.6500000000000004E-2</v>
      </c>
      <c r="K51" s="24">
        <f>IF(G51="NOT FOUND","",INDEX(Components!$J$2:$J$500,MATCH(F51,Components!$I$2:$I$500,0)))</f>
        <v>98.640000000000015</v>
      </c>
      <c r="L51" s="24">
        <f t="shared" si="11"/>
        <v>6.5595600000000012</v>
      </c>
      <c r="M51" s="15" t="str">
        <f>IF(G51="NOT FOUND","",IF(INDEX(Components!$G$2:$G$500,MATCH(F51,Components!$I$2:$I$500,0))="","UNKNOWN",INDEX(Components!$G$2:$G$500,MATCH(F51,Components!$I$2:$I$500,0))))</f>
        <v>US</v>
      </c>
      <c r="N51" s="15" t="str">
        <f t="shared" si="12"/>
        <v>Imported</v>
      </c>
      <c r="O51" s="15" t="str">
        <f>IF(G51="NOT FOUND","",INDEX(Components!$F$2:$F$500,MATCH(F51,Components!$I$2:$I$500,0)))</f>
        <v>SUP-02</v>
      </c>
      <c r="P51" s="28">
        <f>SUMIFS(Sales!$G$2:$G$500,Sales!$I$2:$I$500,A51)</f>
        <v>91</v>
      </c>
      <c r="Q51" s="29">
        <f t="shared" si="13"/>
        <v>596.91996000000006</v>
      </c>
      <c r="R51" s="15" t="str">
        <f t="shared" si="14"/>
        <v/>
      </c>
      <c r="S51" s="15" t="str">
        <f t="shared" si="15"/>
        <v>OK</v>
      </c>
    </row>
    <row r="52" spans="1:19" x14ac:dyDescent="0.3">
      <c r="A52" s="12" t="s">
        <v>118</v>
      </c>
      <c r="B52" s="12">
        <v>30</v>
      </c>
      <c r="C52" s="12" t="s">
        <v>182</v>
      </c>
      <c r="D52" s="25">
        <v>0.99750000000000005</v>
      </c>
      <c r="E52" s="12" t="s">
        <v>66</v>
      </c>
      <c r="F52" s="15" t="str">
        <f t="shared" si="8"/>
        <v>AGG-20</v>
      </c>
      <c r="G52" s="15" t="str">
        <f>IFERROR(INDEX(Components!$B$2:$B$500,MATCH(F52,Components!$I$2:$I$500,0)),"NOT FOUND")</f>
        <v>Coarse aggregate 20 mm</v>
      </c>
      <c r="H52" s="15" t="str">
        <f>IF(G52="NOT FOUND","",INDEX(Components!$C$2:$C$500,MATCH(F52,Components!$I$2:$I$500,0)))</f>
        <v>T</v>
      </c>
      <c r="I52" s="26">
        <f t="shared" si="9"/>
        <v>1</v>
      </c>
      <c r="J52" s="27">
        <f t="shared" si="10"/>
        <v>0.99750000000000005</v>
      </c>
      <c r="K52" s="24">
        <f>IF(G52="NOT FOUND","",INDEX(Components!$J$2:$J$500,MATCH(F52,Components!$I$2:$I$500,0)))</f>
        <v>28</v>
      </c>
      <c r="L52" s="24">
        <f t="shared" si="11"/>
        <v>27.93</v>
      </c>
      <c r="M52" s="15" t="str">
        <f>IF(G52="NOT FOUND","",IF(INDEX(Components!$G$2:$G$500,MATCH(F52,Components!$I$2:$I$500,0))="","UNKNOWN",INDEX(Components!$G$2:$G$500,MATCH(F52,Components!$I$2:$I$500,0))))</f>
        <v>CA</v>
      </c>
      <c r="N52" s="15" t="str">
        <f t="shared" si="12"/>
        <v>Domestic</v>
      </c>
      <c r="O52" s="15" t="str">
        <f>IF(G52="NOT FOUND","",INDEX(Components!$F$2:$F$500,MATCH(F52,Components!$I$2:$I$500,0)))</f>
        <v>SUP-03</v>
      </c>
      <c r="P52" s="28">
        <f>SUMIFS(Sales!$G$2:$G$500,Sales!$I$2:$I$500,A52)</f>
        <v>91</v>
      </c>
      <c r="Q52" s="29">
        <f t="shared" si="13"/>
        <v>2541.63</v>
      </c>
      <c r="R52" s="15" t="str">
        <f t="shared" si="14"/>
        <v/>
      </c>
      <c r="S52" s="15" t="str">
        <f t="shared" si="15"/>
        <v>OK</v>
      </c>
    </row>
    <row r="53" spans="1:19" x14ac:dyDescent="0.3">
      <c r="A53" s="12" t="s">
        <v>118</v>
      </c>
      <c r="B53" s="12">
        <v>40</v>
      </c>
      <c r="C53" s="12" t="s">
        <v>185</v>
      </c>
      <c r="D53" s="25">
        <v>0.71250000000000002</v>
      </c>
      <c r="E53" s="12" t="s">
        <v>66</v>
      </c>
      <c r="F53" s="15" t="str">
        <f t="shared" si="8"/>
        <v>AGG-SND</v>
      </c>
      <c r="G53" s="15" t="str">
        <f>IFERROR(INDEX(Components!$B$2:$B$500,MATCH(F53,Components!$I$2:$I$500,0)),"NOT FOUND")</f>
        <v>Concrete sand</v>
      </c>
      <c r="H53" s="15" t="str">
        <f>IF(G53="NOT FOUND","",INDEX(Components!$C$2:$C$500,MATCH(F53,Components!$I$2:$I$500,0)))</f>
        <v>T</v>
      </c>
      <c r="I53" s="26">
        <f t="shared" si="9"/>
        <v>1</v>
      </c>
      <c r="J53" s="27">
        <f t="shared" si="10"/>
        <v>0.71250000000000002</v>
      </c>
      <c r="K53" s="24">
        <f>IF(G53="NOT FOUND","",INDEX(Components!$J$2:$J$500,MATCH(F53,Components!$I$2:$I$500,0)))</f>
        <v>24</v>
      </c>
      <c r="L53" s="24">
        <f t="shared" si="11"/>
        <v>17.100000000000001</v>
      </c>
      <c r="M53" s="15" t="str">
        <f>IF(G53="NOT FOUND","",IF(INDEX(Components!$G$2:$G$500,MATCH(F53,Components!$I$2:$I$500,0))="","UNKNOWN",INDEX(Components!$G$2:$G$500,MATCH(F53,Components!$I$2:$I$500,0))))</f>
        <v>CA</v>
      </c>
      <c r="N53" s="15" t="str">
        <f t="shared" si="12"/>
        <v>Domestic</v>
      </c>
      <c r="O53" s="15" t="str">
        <f>IF(G53="NOT FOUND","",INDEX(Components!$F$2:$F$500,MATCH(F53,Components!$I$2:$I$500,0)))</f>
        <v>SUP-03</v>
      </c>
      <c r="P53" s="28">
        <f>SUMIFS(Sales!$G$2:$G$500,Sales!$I$2:$I$500,A53)</f>
        <v>91</v>
      </c>
      <c r="Q53" s="29">
        <f t="shared" si="13"/>
        <v>1556.1000000000001</v>
      </c>
      <c r="R53" s="15" t="str">
        <f t="shared" si="14"/>
        <v/>
      </c>
      <c r="S53" s="15" t="str">
        <f t="shared" si="15"/>
        <v>OK</v>
      </c>
    </row>
    <row r="54" spans="1:19" x14ac:dyDescent="0.3">
      <c r="A54" s="12" t="s">
        <v>118</v>
      </c>
      <c r="B54" s="12">
        <v>50</v>
      </c>
      <c r="C54" s="12" t="s">
        <v>188</v>
      </c>
      <c r="D54" s="25">
        <v>1.9</v>
      </c>
      <c r="E54" s="12" t="s">
        <v>190</v>
      </c>
      <c r="F54" s="15" t="str">
        <f t="shared" si="8"/>
        <v>ADM-SP</v>
      </c>
      <c r="G54" s="15" t="str">
        <f>IFERROR(INDEX(Components!$B$2:$B$500,MATCH(F54,Components!$I$2:$I$500,0)),"NOT FOUND")</f>
        <v>Superplasticizer admixture</v>
      </c>
      <c r="H54" s="15" t="str">
        <f>IF(G54="NOT FOUND","",INDEX(Components!$C$2:$C$500,MATCH(F54,Components!$I$2:$I$500,0)))</f>
        <v>L</v>
      </c>
      <c r="I54" s="26">
        <f t="shared" si="9"/>
        <v>1</v>
      </c>
      <c r="J54" s="27">
        <f t="shared" si="10"/>
        <v>1.9</v>
      </c>
      <c r="K54" s="24">
        <f>IF(G54="NOT FOUND","",INDEX(Components!$J$2:$J$500,MATCH(F54,Components!$I$2:$I$500,0)))</f>
        <v>4.2470000000000008</v>
      </c>
      <c r="L54" s="24">
        <f t="shared" si="11"/>
        <v>8.0693000000000019</v>
      </c>
      <c r="M54" s="15" t="str">
        <f>IF(G54="NOT FOUND","",IF(INDEX(Components!$G$2:$G$500,MATCH(F54,Components!$I$2:$I$500,0))="","UNKNOWN",INDEX(Components!$G$2:$G$500,MATCH(F54,Components!$I$2:$I$500,0))))</f>
        <v>US</v>
      </c>
      <c r="N54" s="15" t="str">
        <f t="shared" si="12"/>
        <v>Imported</v>
      </c>
      <c r="O54" s="15" t="str">
        <f>IF(G54="NOT FOUND","",INDEX(Components!$F$2:$F$500,MATCH(F54,Components!$I$2:$I$500,0)))</f>
        <v>SUP-04</v>
      </c>
      <c r="P54" s="28">
        <f>SUMIFS(Sales!$G$2:$G$500,Sales!$I$2:$I$500,A54)</f>
        <v>91</v>
      </c>
      <c r="Q54" s="29">
        <f t="shared" si="13"/>
        <v>734.30630000000019</v>
      </c>
      <c r="R54" s="15" t="str">
        <f t="shared" si="14"/>
        <v/>
      </c>
      <c r="S54" s="15" t="str">
        <f t="shared" si="15"/>
        <v>OK</v>
      </c>
    </row>
    <row r="55" spans="1:19" x14ac:dyDescent="0.3">
      <c r="A55" s="12" t="s">
        <v>118</v>
      </c>
      <c r="B55" s="12">
        <v>60</v>
      </c>
      <c r="C55" s="12" t="s">
        <v>192</v>
      </c>
      <c r="D55" s="25">
        <v>0.38</v>
      </c>
      <c r="E55" s="12" t="s">
        <v>190</v>
      </c>
      <c r="F55" s="15" t="str">
        <f t="shared" si="8"/>
        <v>ADM-AE</v>
      </c>
      <c r="G55" s="15" t="str">
        <f>IFERROR(INDEX(Components!$B$2:$B$500,MATCH(F55,Components!$I$2:$I$500,0)),"NOT FOUND")</f>
        <v>Air-entraining admixture</v>
      </c>
      <c r="H55" s="15" t="str">
        <f>IF(G55="NOT FOUND","",INDEX(Components!$C$2:$C$500,MATCH(F55,Components!$I$2:$I$500,0)))</f>
        <v>L</v>
      </c>
      <c r="I55" s="26">
        <f t="shared" si="9"/>
        <v>1</v>
      </c>
      <c r="J55" s="27">
        <f t="shared" si="10"/>
        <v>0.38</v>
      </c>
      <c r="K55" s="24">
        <f>IF(G55="NOT FOUND","",INDEX(Components!$J$2:$J$500,MATCH(F55,Components!$I$2:$I$500,0)))</f>
        <v>3.2880000000000003</v>
      </c>
      <c r="L55" s="24">
        <f t="shared" si="11"/>
        <v>1.2494400000000001</v>
      </c>
      <c r="M55" s="15" t="str">
        <f>IF(G55="NOT FOUND","",IF(INDEX(Components!$G$2:$G$500,MATCH(F55,Components!$I$2:$I$500,0))="","UNKNOWN",INDEX(Components!$G$2:$G$500,MATCH(F55,Components!$I$2:$I$500,0))))</f>
        <v>US</v>
      </c>
      <c r="N55" s="15" t="str">
        <f t="shared" si="12"/>
        <v>Imported</v>
      </c>
      <c r="O55" s="15" t="str">
        <f>IF(G55="NOT FOUND","",INDEX(Components!$F$2:$F$500,MATCH(F55,Components!$I$2:$I$500,0)))</f>
        <v>SUP-04</v>
      </c>
      <c r="P55" s="28">
        <f>SUMIFS(Sales!$G$2:$G$500,Sales!$I$2:$I$500,A55)</f>
        <v>91</v>
      </c>
      <c r="Q55" s="29">
        <f t="shared" si="13"/>
        <v>113.69904000000001</v>
      </c>
      <c r="R55" s="15" t="str">
        <f t="shared" si="14"/>
        <v/>
      </c>
      <c r="S55" s="15" t="str">
        <f t="shared" si="15"/>
        <v>OK</v>
      </c>
    </row>
    <row r="56" spans="1:19" x14ac:dyDescent="0.3">
      <c r="A56" s="12" t="s">
        <v>118</v>
      </c>
      <c r="B56" s="12">
        <v>70</v>
      </c>
      <c r="C56" s="12" t="s">
        <v>243</v>
      </c>
      <c r="D56" s="25">
        <v>40</v>
      </c>
      <c r="E56" s="12" t="s">
        <v>62</v>
      </c>
      <c r="F56" s="15" t="str">
        <f t="shared" si="8"/>
        <v>RB-12M</v>
      </c>
      <c r="G56" s="15" t="str">
        <f>IFERROR(INDEX(Components!$B$2:$B$500,MATCH(F56,Components!$I$2:$I$500,0)),"NOT FOUND")</f>
        <v>NOT FOUND</v>
      </c>
      <c r="H56" s="15" t="str">
        <f>IF(G56="NOT FOUND","",INDEX(Components!$C$2:$C$500,MATCH(F56,Components!$I$2:$I$500,0)))</f>
        <v/>
      </c>
      <c r="I56" s="26" t="str">
        <f t="shared" si="9"/>
        <v/>
      </c>
      <c r="J56" s="27" t="str">
        <f t="shared" si="10"/>
        <v/>
      </c>
      <c r="K56" s="24" t="str">
        <f>IF(G56="NOT FOUND","",INDEX(Components!$J$2:$J$500,MATCH(F56,Components!$I$2:$I$500,0)))</f>
        <v/>
      </c>
      <c r="L56" s="24" t="str">
        <f t="shared" si="11"/>
        <v/>
      </c>
      <c r="M56" s="15" t="str">
        <f>IF(G56="NOT FOUND","",IF(INDEX(Components!$G$2:$G$500,MATCH(F56,Components!$I$2:$I$500,0))="","UNKNOWN",INDEX(Components!$G$2:$G$500,MATCH(F56,Components!$I$2:$I$500,0))))</f>
        <v/>
      </c>
      <c r="N56" s="15" t="str">
        <f t="shared" si="12"/>
        <v/>
      </c>
      <c r="O56" s="15" t="str">
        <f>IF(G56="NOT FOUND","",INDEX(Components!$F$2:$F$500,MATCH(F56,Components!$I$2:$I$500,0)))</f>
        <v/>
      </c>
      <c r="P56" s="28">
        <f>SUMIFS(Sales!$G$2:$G$500,Sales!$I$2:$I$500,A56)</f>
        <v>91</v>
      </c>
      <c r="Q56" s="29" t="str">
        <f t="shared" si="13"/>
        <v/>
      </c>
      <c r="R56" s="15" t="str">
        <f t="shared" si="14"/>
        <v xml:space="preserve">Unknown component; </v>
      </c>
      <c r="S56" s="15" t="str">
        <f t="shared" si="15"/>
        <v>CHECK</v>
      </c>
    </row>
    <row r="57" spans="1:19" x14ac:dyDescent="0.3">
      <c r="A57" s="12" t="s">
        <v>118</v>
      </c>
      <c r="B57" s="12">
        <v>80</v>
      </c>
      <c r="C57" s="12" t="s">
        <v>215</v>
      </c>
      <c r="D57" s="25">
        <v>2</v>
      </c>
      <c r="E57" s="12" t="s">
        <v>106</v>
      </c>
      <c r="F57" s="15" t="str">
        <f t="shared" si="8"/>
        <v>LFT-ANC</v>
      </c>
      <c r="G57" s="15" t="str">
        <f>IFERROR(INDEX(Components!$B$2:$B$500,MATCH(F57,Components!$I$2:$I$500,0)),"NOT FOUND")</f>
        <v>Lifting anchor 2.5 t</v>
      </c>
      <c r="H57" s="15" t="str">
        <f>IF(G57="NOT FOUND","",INDEX(Components!$C$2:$C$500,MATCH(F57,Components!$I$2:$I$500,0)))</f>
        <v>EA</v>
      </c>
      <c r="I57" s="26">
        <f t="shared" si="9"/>
        <v>1</v>
      </c>
      <c r="J57" s="27">
        <f t="shared" si="10"/>
        <v>2</v>
      </c>
      <c r="K57" s="24">
        <f>IF(G57="NOT FOUND","",INDEX(Components!$J$2:$J$500,MATCH(F57,Components!$I$2:$I$500,0)))</f>
        <v>6.8999999999999995</v>
      </c>
      <c r="L57" s="24">
        <f t="shared" si="11"/>
        <v>13.799999999999999</v>
      </c>
      <c r="M57" s="15" t="str">
        <f>IF(G57="NOT FOUND","",IF(INDEX(Components!$G$2:$G$500,MATCH(F57,Components!$I$2:$I$500,0))="","UNKNOWN",INDEX(Components!$G$2:$G$500,MATCH(F57,Components!$I$2:$I$500,0))))</f>
        <v>DE</v>
      </c>
      <c r="N57" s="15" t="str">
        <f t="shared" si="12"/>
        <v>Imported</v>
      </c>
      <c r="O57" s="15" t="str">
        <f>IF(G57="NOT FOUND","",INDEX(Components!$F$2:$F$500,MATCH(F57,Components!$I$2:$I$500,0)))</f>
        <v>SUP-10</v>
      </c>
      <c r="P57" s="28">
        <f>SUMIFS(Sales!$G$2:$G$500,Sales!$I$2:$I$500,A57)</f>
        <v>91</v>
      </c>
      <c r="Q57" s="29">
        <f t="shared" si="13"/>
        <v>1255.8</v>
      </c>
      <c r="R57" s="15" t="str">
        <f t="shared" si="14"/>
        <v/>
      </c>
      <c r="S57" s="15" t="str">
        <f t="shared" si="15"/>
        <v>OK</v>
      </c>
    </row>
    <row r="58" spans="1:19" x14ac:dyDescent="0.3">
      <c r="A58" s="12" t="s">
        <v>118</v>
      </c>
      <c r="B58" s="12">
        <v>90</v>
      </c>
      <c r="C58" s="12" t="s">
        <v>227</v>
      </c>
      <c r="D58" s="25">
        <v>0.5</v>
      </c>
      <c r="E58" s="12" t="s">
        <v>190</v>
      </c>
      <c r="F58" s="15" t="str">
        <f t="shared" si="8"/>
        <v>FRM-OIL</v>
      </c>
      <c r="G58" s="15" t="str">
        <f>IFERROR(INDEX(Components!$B$2:$B$500,MATCH(F58,Components!$I$2:$I$500,0)),"NOT FOUND")</f>
        <v>Form release agent</v>
      </c>
      <c r="H58" s="15" t="str">
        <f>IF(G58="NOT FOUND","",INDEX(Components!$C$2:$C$500,MATCH(F58,Components!$I$2:$I$500,0)))</f>
        <v>L</v>
      </c>
      <c r="I58" s="26">
        <f t="shared" si="9"/>
        <v>1</v>
      </c>
      <c r="J58" s="27">
        <f t="shared" si="10"/>
        <v>0.5</v>
      </c>
      <c r="K58" s="24">
        <f>IF(G58="NOT FOUND","",INDEX(Components!$J$2:$J$500,MATCH(F58,Components!$I$2:$I$500,0)))</f>
        <v>1.1499999999999999</v>
      </c>
      <c r="L58" s="24">
        <f t="shared" si="11"/>
        <v>0.57499999999999996</v>
      </c>
      <c r="M58" s="15" t="str">
        <f>IF(G58="NOT FOUND","",IF(INDEX(Components!$G$2:$G$500,MATCH(F58,Components!$I$2:$I$500,0))="","UNKNOWN",INDEX(Components!$G$2:$G$500,MATCH(F58,Components!$I$2:$I$500,0))))</f>
        <v>CA</v>
      </c>
      <c r="N58" s="15" t="str">
        <f t="shared" si="12"/>
        <v>Domestic</v>
      </c>
      <c r="O58" s="15" t="str">
        <f>IF(G58="NOT FOUND","",INDEX(Components!$F$2:$F$500,MATCH(F58,Components!$I$2:$I$500,0)))</f>
        <v>SUP-12</v>
      </c>
      <c r="P58" s="28">
        <f>SUMIFS(Sales!$G$2:$G$500,Sales!$I$2:$I$500,A58)</f>
        <v>91</v>
      </c>
      <c r="Q58" s="29">
        <f t="shared" si="13"/>
        <v>52.324999999999996</v>
      </c>
      <c r="R58" s="15" t="str">
        <f t="shared" si="14"/>
        <v/>
      </c>
      <c r="S58" s="15" t="str">
        <f t="shared" si="15"/>
        <v>OK</v>
      </c>
    </row>
    <row r="59" spans="1:19" x14ac:dyDescent="0.3">
      <c r="A59" s="12" t="s">
        <v>120</v>
      </c>
      <c r="B59" s="12">
        <v>10</v>
      </c>
      <c r="C59" s="12" t="s">
        <v>176</v>
      </c>
      <c r="D59" s="25">
        <v>0.14699999999999999</v>
      </c>
      <c r="E59" s="12" t="s">
        <v>66</v>
      </c>
      <c r="F59" s="15" t="str">
        <f t="shared" si="8"/>
        <v>CMT-GU</v>
      </c>
      <c r="G59" s="15" t="str">
        <f>IFERROR(INDEX(Components!$B$2:$B$500,MATCH(F59,Components!$I$2:$I$500,0)),"NOT FOUND")</f>
        <v>Portland cement Type GU</v>
      </c>
      <c r="H59" s="15" t="str">
        <f>IF(G59="NOT FOUND","",INDEX(Components!$C$2:$C$500,MATCH(F59,Components!$I$2:$I$500,0)))</f>
        <v>T</v>
      </c>
      <c r="I59" s="26">
        <f t="shared" si="9"/>
        <v>1</v>
      </c>
      <c r="J59" s="27">
        <f t="shared" si="10"/>
        <v>0.14699999999999999</v>
      </c>
      <c r="K59" s="24">
        <f>IF(G59="NOT FOUND","",INDEX(Components!$J$2:$J$500,MATCH(F59,Components!$I$2:$I$500,0)))</f>
        <v>235</v>
      </c>
      <c r="L59" s="24">
        <f t="shared" si="11"/>
        <v>34.544999999999995</v>
      </c>
      <c r="M59" s="15" t="str">
        <f>IF(G59="NOT FOUND","",IF(INDEX(Components!$G$2:$G$500,MATCH(F59,Components!$I$2:$I$500,0))="","UNKNOWN",INDEX(Components!$G$2:$G$500,MATCH(F59,Components!$I$2:$I$500,0))))</f>
        <v>CA</v>
      </c>
      <c r="N59" s="15" t="str">
        <f t="shared" si="12"/>
        <v>Domestic</v>
      </c>
      <c r="O59" s="15" t="str">
        <f>IF(G59="NOT FOUND","",INDEX(Components!$F$2:$F$500,MATCH(F59,Components!$I$2:$I$500,0)))</f>
        <v>SUP-01</v>
      </c>
      <c r="P59" s="28">
        <f>SUMIFS(Sales!$G$2:$G$500,Sales!$I$2:$I$500,A59)</f>
        <v>90</v>
      </c>
      <c r="Q59" s="29">
        <f t="shared" si="13"/>
        <v>3109.0499999999997</v>
      </c>
      <c r="R59" s="15" t="str">
        <f t="shared" si="14"/>
        <v/>
      </c>
      <c r="S59" s="15" t="str">
        <f t="shared" si="15"/>
        <v>OK</v>
      </c>
    </row>
    <row r="60" spans="1:19" x14ac:dyDescent="0.3">
      <c r="A60" s="12" t="s">
        <v>120</v>
      </c>
      <c r="B60" s="12">
        <v>20</v>
      </c>
      <c r="C60" s="12" t="s">
        <v>179</v>
      </c>
      <c r="D60" s="25">
        <v>2.9399999999999999E-2</v>
      </c>
      <c r="E60" s="12" t="s">
        <v>66</v>
      </c>
      <c r="F60" s="15" t="str">
        <f t="shared" si="8"/>
        <v>SCM-FA</v>
      </c>
      <c r="G60" s="15" t="str">
        <f>IFERROR(INDEX(Components!$B$2:$B$500,MATCH(F60,Components!$I$2:$I$500,0)),"NOT FOUND")</f>
        <v>Fly ash Class F</v>
      </c>
      <c r="H60" s="15" t="str">
        <f>IF(G60="NOT FOUND","",INDEX(Components!$C$2:$C$500,MATCH(F60,Components!$I$2:$I$500,0)))</f>
        <v>T</v>
      </c>
      <c r="I60" s="26">
        <f t="shared" si="9"/>
        <v>1</v>
      </c>
      <c r="J60" s="27">
        <f t="shared" si="10"/>
        <v>2.9399999999999999E-2</v>
      </c>
      <c r="K60" s="24">
        <f>IF(G60="NOT FOUND","",INDEX(Components!$J$2:$J$500,MATCH(F60,Components!$I$2:$I$500,0)))</f>
        <v>98.640000000000015</v>
      </c>
      <c r="L60" s="24">
        <f t="shared" si="11"/>
        <v>2.9000160000000004</v>
      </c>
      <c r="M60" s="15" t="str">
        <f>IF(G60="NOT FOUND","",IF(INDEX(Components!$G$2:$G$500,MATCH(F60,Components!$I$2:$I$500,0))="","UNKNOWN",INDEX(Components!$G$2:$G$500,MATCH(F60,Components!$I$2:$I$500,0))))</f>
        <v>US</v>
      </c>
      <c r="N60" s="15" t="str">
        <f t="shared" si="12"/>
        <v>Imported</v>
      </c>
      <c r="O60" s="15" t="str">
        <f>IF(G60="NOT FOUND","",INDEX(Components!$F$2:$F$500,MATCH(F60,Components!$I$2:$I$500,0)))</f>
        <v>SUP-02</v>
      </c>
      <c r="P60" s="28">
        <f>SUMIFS(Sales!$G$2:$G$500,Sales!$I$2:$I$500,A60)</f>
        <v>90</v>
      </c>
      <c r="Q60" s="29">
        <f t="shared" si="13"/>
        <v>261.00144000000006</v>
      </c>
      <c r="R60" s="15" t="str">
        <f t="shared" si="14"/>
        <v/>
      </c>
      <c r="S60" s="15" t="str">
        <f t="shared" si="15"/>
        <v>OK</v>
      </c>
    </row>
    <row r="61" spans="1:19" x14ac:dyDescent="0.3">
      <c r="A61" s="12" t="s">
        <v>120</v>
      </c>
      <c r="B61" s="12">
        <v>30</v>
      </c>
      <c r="C61" s="12" t="s">
        <v>182</v>
      </c>
      <c r="D61" s="25">
        <v>0.441</v>
      </c>
      <c r="E61" s="12" t="s">
        <v>66</v>
      </c>
      <c r="F61" s="15" t="str">
        <f t="shared" si="8"/>
        <v>AGG-20</v>
      </c>
      <c r="G61" s="15" t="str">
        <f>IFERROR(INDEX(Components!$B$2:$B$500,MATCH(F61,Components!$I$2:$I$500,0)),"NOT FOUND")</f>
        <v>Coarse aggregate 20 mm</v>
      </c>
      <c r="H61" s="15" t="str">
        <f>IF(G61="NOT FOUND","",INDEX(Components!$C$2:$C$500,MATCH(F61,Components!$I$2:$I$500,0)))</f>
        <v>T</v>
      </c>
      <c r="I61" s="26">
        <f t="shared" si="9"/>
        <v>1</v>
      </c>
      <c r="J61" s="27">
        <f t="shared" si="10"/>
        <v>0.441</v>
      </c>
      <c r="K61" s="24">
        <f>IF(G61="NOT FOUND","",INDEX(Components!$J$2:$J$500,MATCH(F61,Components!$I$2:$I$500,0)))</f>
        <v>28</v>
      </c>
      <c r="L61" s="24">
        <f t="shared" si="11"/>
        <v>12.348000000000001</v>
      </c>
      <c r="M61" s="15" t="str">
        <f>IF(G61="NOT FOUND","",IF(INDEX(Components!$G$2:$G$500,MATCH(F61,Components!$I$2:$I$500,0))="","UNKNOWN",INDEX(Components!$G$2:$G$500,MATCH(F61,Components!$I$2:$I$500,0))))</f>
        <v>CA</v>
      </c>
      <c r="N61" s="15" t="str">
        <f t="shared" si="12"/>
        <v>Domestic</v>
      </c>
      <c r="O61" s="15" t="str">
        <f>IF(G61="NOT FOUND","",INDEX(Components!$F$2:$F$500,MATCH(F61,Components!$I$2:$I$500,0)))</f>
        <v>SUP-03</v>
      </c>
      <c r="P61" s="28">
        <f>SUMIFS(Sales!$G$2:$G$500,Sales!$I$2:$I$500,A61)</f>
        <v>90</v>
      </c>
      <c r="Q61" s="29">
        <f t="shared" si="13"/>
        <v>1111.3200000000002</v>
      </c>
      <c r="R61" s="15" t="str">
        <f t="shared" si="14"/>
        <v/>
      </c>
      <c r="S61" s="15" t="str">
        <f t="shared" si="15"/>
        <v>OK</v>
      </c>
    </row>
    <row r="62" spans="1:19" x14ac:dyDescent="0.3">
      <c r="A62" s="12" t="s">
        <v>120</v>
      </c>
      <c r="B62" s="12">
        <v>40</v>
      </c>
      <c r="C62" s="12" t="s">
        <v>185</v>
      </c>
      <c r="D62" s="25">
        <v>0.315</v>
      </c>
      <c r="E62" s="12" t="s">
        <v>66</v>
      </c>
      <c r="F62" s="15" t="str">
        <f t="shared" si="8"/>
        <v>AGG-SND</v>
      </c>
      <c r="G62" s="15" t="str">
        <f>IFERROR(INDEX(Components!$B$2:$B$500,MATCH(F62,Components!$I$2:$I$500,0)),"NOT FOUND")</f>
        <v>Concrete sand</v>
      </c>
      <c r="H62" s="15" t="str">
        <f>IF(G62="NOT FOUND","",INDEX(Components!$C$2:$C$500,MATCH(F62,Components!$I$2:$I$500,0)))</f>
        <v>T</v>
      </c>
      <c r="I62" s="26">
        <f t="shared" si="9"/>
        <v>1</v>
      </c>
      <c r="J62" s="27">
        <f t="shared" si="10"/>
        <v>0.315</v>
      </c>
      <c r="K62" s="24">
        <f>IF(G62="NOT FOUND","",INDEX(Components!$J$2:$J$500,MATCH(F62,Components!$I$2:$I$500,0)))</f>
        <v>24</v>
      </c>
      <c r="L62" s="24">
        <f t="shared" si="11"/>
        <v>7.5600000000000005</v>
      </c>
      <c r="M62" s="15" t="str">
        <f>IF(G62="NOT FOUND","",IF(INDEX(Components!$G$2:$G$500,MATCH(F62,Components!$I$2:$I$500,0))="","UNKNOWN",INDEX(Components!$G$2:$G$500,MATCH(F62,Components!$I$2:$I$500,0))))</f>
        <v>CA</v>
      </c>
      <c r="N62" s="15" t="str">
        <f t="shared" si="12"/>
        <v>Domestic</v>
      </c>
      <c r="O62" s="15" t="str">
        <f>IF(G62="NOT FOUND","",INDEX(Components!$F$2:$F$500,MATCH(F62,Components!$I$2:$I$500,0)))</f>
        <v>SUP-03</v>
      </c>
      <c r="P62" s="28">
        <f>SUMIFS(Sales!$G$2:$G$500,Sales!$I$2:$I$500,A62)</f>
        <v>90</v>
      </c>
      <c r="Q62" s="29">
        <f t="shared" si="13"/>
        <v>680.40000000000009</v>
      </c>
      <c r="R62" s="15" t="str">
        <f t="shared" si="14"/>
        <v/>
      </c>
      <c r="S62" s="15" t="str">
        <f t="shared" si="15"/>
        <v>OK</v>
      </c>
    </row>
    <row r="63" spans="1:19" x14ac:dyDescent="0.3">
      <c r="A63" s="12" t="s">
        <v>120</v>
      </c>
      <c r="B63" s="12">
        <v>50</v>
      </c>
      <c r="C63" s="12" t="s">
        <v>188</v>
      </c>
      <c r="D63" s="25">
        <v>0.84</v>
      </c>
      <c r="E63" s="12" t="s">
        <v>190</v>
      </c>
      <c r="F63" s="15" t="str">
        <f t="shared" si="8"/>
        <v>ADM-SP</v>
      </c>
      <c r="G63" s="15" t="str">
        <f>IFERROR(INDEX(Components!$B$2:$B$500,MATCH(F63,Components!$I$2:$I$500,0)),"NOT FOUND")</f>
        <v>Superplasticizer admixture</v>
      </c>
      <c r="H63" s="15" t="str">
        <f>IF(G63="NOT FOUND","",INDEX(Components!$C$2:$C$500,MATCH(F63,Components!$I$2:$I$500,0)))</f>
        <v>L</v>
      </c>
      <c r="I63" s="26">
        <f t="shared" si="9"/>
        <v>1</v>
      </c>
      <c r="J63" s="27">
        <f t="shared" si="10"/>
        <v>0.84</v>
      </c>
      <c r="K63" s="24">
        <f>IF(G63="NOT FOUND","",INDEX(Components!$J$2:$J$500,MATCH(F63,Components!$I$2:$I$500,0)))</f>
        <v>4.2470000000000008</v>
      </c>
      <c r="L63" s="24">
        <f t="shared" si="11"/>
        <v>3.5674800000000007</v>
      </c>
      <c r="M63" s="15" t="str">
        <f>IF(G63="NOT FOUND","",IF(INDEX(Components!$G$2:$G$500,MATCH(F63,Components!$I$2:$I$500,0))="","UNKNOWN",INDEX(Components!$G$2:$G$500,MATCH(F63,Components!$I$2:$I$500,0))))</f>
        <v>US</v>
      </c>
      <c r="N63" s="15" t="str">
        <f t="shared" si="12"/>
        <v>Imported</v>
      </c>
      <c r="O63" s="15" t="str">
        <f>IF(G63="NOT FOUND","",INDEX(Components!$F$2:$F$500,MATCH(F63,Components!$I$2:$I$500,0)))</f>
        <v>SUP-04</v>
      </c>
      <c r="P63" s="28">
        <f>SUMIFS(Sales!$G$2:$G$500,Sales!$I$2:$I$500,A63)</f>
        <v>90</v>
      </c>
      <c r="Q63" s="29">
        <f t="shared" si="13"/>
        <v>321.07320000000004</v>
      </c>
      <c r="R63" s="15" t="str">
        <f t="shared" si="14"/>
        <v/>
      </c>
      <c r="S63" s="15" t="str">
        <f t="shared" si="15"/>
        <v>OK</v>
      </c>
    </row>
    <row r="64" spans="1:19" x14ac:dyDescent="0.3">
      <c r="A64" s="12" t="s">
        <v>120</v>
      </c>
      <c r="B64" s="12">
        <v>60</v>
      </c>
      <c r="C64" s="12" t="s">
        <v>192</v>
      </c>
      <c r="D64" s="25">
        <v>0.16800000000000001</v>
      </c>
      <c r="E64" s="12" t="s">
        <v>190</v>
      </c>
      <c r="F64" s="15" t="str">
        <f t="shared" si="8"/>
        <v>ADM-AE</v>
      </c>
      <c r="G64" s="15" t="str">
        <f>IFERROR(INDEX(Components!$B$2:$B$500,MATCH(F64,Components!$I$2:$I$500,0)),"NOT FOUND")</f>
        <v>Air-entraining admixture</v>
      </c>
      <c r="H64" s="15" t="str">
        <f>IF(G64="NOT FOUND","",INDEX(Components!$C$2:$C$500,MATCH(F64,Components!$I$2:$I$500,0)))</f>
        <v>L</v>
      </c>
      <c r="I64" s="26">
        <f t="shared" si="9"/>
        <v>1</v>
      </c>
      <c r="J64" s="27">
        <f t="shared" si="10"/>
        <v>0.16800000000000001</v>
      </c>
      <c r="K64" s="24">
        <f>IF(G64="NOT FOUND","",INDEX(Components!$J$2:$J$500,MATCH(F64,Components!$I$2:$I$500,0)))</f>
        <v>3.2880000000000003</v>
      </c>
      <c r="L64" s="24">
        <f t="shared" si="11"/>
        <v>0.5523840000000001</v>
      </c>
      <c r="M64" s="15" t="str">
        <f>IF(G64="NOT FOUND","",IF(INDEX(Components!$G$2:$G$500,MATCH(F64,Components!$I$2:$I$500,0))="","UNKNOWN",INDEX(Components!$G$2:$G$500,MATCH(F64,Components!$I$2:$I$500,0))))</f>
        <v>US</v>
      </c>
      <c r="N64" s="15" t="str">
        <f t="shared" si="12"/>
        <v>Imported</v>
      </c>
      <c r="O64" s="15" t="str">
        <f>IF(G64="NOT FOUND","",INDEX(Components!$F$2:$F$500,MATCH(F64,Components!$I$2:$I$500,0)))</f>
        <v>SUP-04</v>
      </c>
      <c r="P64" s="28">
        <f>SUMIFS(Sales!$G$2:$G$500,Sales!$I$2:$I$500,A64)</f>
        <v>90</v>
      </c>
      <c r="Q64" s="29">
        <f t="shared" si="13"/>
        <v>49.714560000000006</v>
      </c>
      <c r="R64" s="15" t="str">
        <f t="shared" si="14"/>
        <v/>
      </c>
      <c r="S64" s="15" t="str">
        <f t="shared" si="15"/>
        <v>OK</v>
      </c>
    </row>
    <row r="65" spans="1:19" x14ac:dyDescent="0.3">
      <c r="A65" s="12" t="s">
        <v>120</v>
      </c>
      <c r="B65" s="12">
        <v>70</v>
      </c>
      <c r="C65" s="12" t="s">
        <v>202</v>
      </c>
      <c r="D65" s="25">
        <v>3.2</v>
      </c>
      <c r="E65" s="12" t="s">
        <v>134</v>
      </c>
      <c r="F65" s="15" t="str">
        <f t="shared" si="8"/>
        <v>WWM-152</v>
      </c>
      <c r="G65" s="15" t="str">
        <f>IFERROR(INDEX(Components!$B$2:$B$500,MATCH(F65,Components!$I$2:$I$500,0)),"NOT FOUND")</f>
        <v>Welded wire mesh 152x152 MW25.8</v>
      </c>
      <c r="H65" s="15" t="str">
        <f>IF(G65="NOT FOUND","",INDEX(Components!$C$2:$C$500,MATCH(F65,Components!$I$2:$I$500,0)))</f>
        <v>M2</v>
      </c>
      <c r="I65" s="26">
        <f t="shared" si="9"/>
        <v>1</v>
      </c>
      <c r="J65" s="27">
        <f t="shared" si="10"/>
        <v>3.2</v>
      </c>
      <c r="K65" s="24">
        <f>IF(G65="NOT FOUND","",INDEX(Components!$J$2:$J$500,MATCH(F65,Components!$I$2:$I$500,0)))</f>
        <v>6.3019999999999996</v>
      </c>
      <c r="L65" s="24">
        <f t="shared" si="11"/>
        <v>20.166399999999999</v>
      </c>
      <c r="M65" s="15" t="str">
        <f>IF(G65="NOT FOUND","",IF(INDEX(Components!$G$2:$G$500,MATCH(F65,Components!$I$2:$I$500,0))="","UNKNOWN",INDEX(Components!$G$2:$G$500,MATCH(F65,Components!$I$2:$I$500,0))))</f>
        <v>US</v>
      </c>
      <c r="N65" s="15" t="str">
        <f t="shared" si="12"/>
        <v>Imported</v>
      </c>
      <c r="O65" s="15" t="str">
        <f>IF(G65="NOT FOUND","",INDEX(Components!$F$2:$F$500,MATCH(F65,Components!$I$2:$I$500,0)))</f>
        <v>SUP-07</v>
      </c>
      <c r="P65" s="28">
        <f>SUMIFS(Sales!$G$2:$G$500,Sales!$I$2:$I$500,A65)</f>
        <v>90</v>
      </c>
      <c r="Q65" s="29">
        <f t="shared" si="13"/>
        <v>1814.9759999999999</v>
      </c>
      <c r="R65" s="15" t="str">
        <f t="shared" si="14"/>
        <v/>
      </c>
      <c r="S65" s="15" t="str">
        <f t="shared" si="15"/>
        <v>OK</v>
      </c>
    </row>
    <row r="66" spans="1:19" x14ac:dyDescent="0.3">
      <c r="A66" s="12" t="s">
        <v>120</v>
      </c>
      <c r="B66" s="12">
        <v>80</v>
      </c>
      <c r="C66" s="12" t="s">
        <v>223</v>
      </c>
      <c r="D66" s="25">
        <v>3.8</v>
      </c>
      <c r="E66" s="12" t="s">
        <v>225</v>
      </c>
      <c r="F66" s="15" t="str">
        <f t="shared" ref="F66:F97" si="16">UPPER(TRIM(C66))</f>
        <v>SEAL-BUT</v>
      </c>
      <c r="G66" s="15" t="str">
        <f>IFERROR(INDEX(Components!$B$2:$B$500,MATCH(F66,Components!$I$2:$I$500,0)),"NOT FOUND")</f>
        <v>Butyl joint sealant</v>
      </c>
      <c r="H66" s="15" t="str">
        <f>IF(G66="NOT FOUND","",INDEX(Components!$C$2:$C$500,MATCH(F66,Components!$I$2:$I$500,0)))</f>
        <v>M</v>
      </c>
      <c r="I66" s="26">
        <f t="shared" ref="I66:I97" si="17">IF(G66="NOT FOUND","",IF(E66=H66,1,IFERROR(INDEX(Unit_Factor,MATCH(E66&amp;"&gt;"&amp;H66,Unit_Key,0)),"NO FACTOR")))</f>
        <v>1</v>
      </c>
      <c r="J66" s="27">
        <f t="shared" ref="J66:J97" si="18">IF(ISNUMBER(I66),D66*I66,"")</f>
        <v>3.8</v>
      </c>
      <c r="K66" s="24" t="str">
        <f>IF(G66="NOT FOUND","",INDEX(Components!$J$2:$J$500,MATCH(F66,Components!$I$2:$I$500,0)))</f>
        <v/>
      </c>
      <c r="L66" s="24" t="str">
        <f t="shared" ref="L66:L97" si="19">IF(AND(ISNUMBER(J66),ISNUMBER(K66)),J66*K66,"")</f>
        <v/>
      </c>
      <c r="M66" s="15" t="str">
        <f>IF(G66="NOT FOUND","",IF(INDEX(Components!$G$2:$G$500,MATCH(F66,Components!$I$2:$I$500,0))="","UNKNOWN",INDEX(Components!$G$2:$G$500,MATCH(F66,Components!$I$2:$I$500,0))))</f>
        <v>CA</v>
      </c>
      <c r="N66" s="15" t="str">
        <f t="shared" ref="N66:N97" si="20">IF(M66="","",IF(M66="UNKNOWN","Unknown",IF(M66=Home_Country,"Domestic","Imported")))</f>
        <v>Domestic</v>
      </c>
      <c r="O66" s="15" t="str">
        <f>IF(G66="NOT FOUND","",INDEX(Components!$F$2:$F$500,MATCH(F66,Components!$I$2:$I$500,0)))</f>
        <v>SUP-12</v>
      </c>
      <c r="P66" s="28">
        <f>SUMIFS(Sales!$G$2:$G$500,Sales!$I$2:$I$500,A66)</f>
        <v>90</v>
      </c>
      <c r="Q66" s="29" t="str">
        <f t="shared" ref="Q66:Q97" si="21">IF(ISNUMBER(L66),L66*P66,"")</f>
        <v/>
      </c>
      <c r="R66" s="15" t="str">
        <f t="shared" ref="R66:R97" si="22">IF(G66="NOT FOUND","Unknown component; ","")&amp;IF(I66="NO FACTOR","No unit conversion; ","")&amp;IF(AND(G66&lt;&gt;"NOT FOUND",K66=""),"Missing cost; ","")&amp;IF(M66="UNKNOWN","Missing origin; ","")</f>
        <v xml:space="preserve">Missing cost; </v>
      </c>
      <c r="S66" s="15" t="str">
        <f t="shared" ref="S66:S97" si="23">IF(R66="","OK","CHECK")</f>
        <v>CHECK</v>
      </c>
    </row>
    <row r="67" spans="1:19" x14ac:dyDescent="0.3">
      <c r="A67" s="12" t="s">
        <v>120</v>
      </c>
      <c r="B67" s="12">
        <v>90</v>
      </c>
      <c r="C67" s="12" t="s">
        <v>227</v>
      </c>
      <c r="D67" s="25">
        <v>0.3</v>
      </c>
      <c r="E67" s="12" t="s">
        <v>190</v>
      </c>
      <c r="F67" s="15" t="str">
        <f t="shared" si="16"/>
        <v>FRM-OIL</v>
      </c>
      <c r="G67" s="15" t="str">
        <f>IFERROR(INDEX(Components!$B$2:$B$500,MATCH(F67,Components!$I$2:$I$500,0)),"NOT FOUND")</f>
        <v>Form release agent</v>
      </c>
      <c r="H67" s="15" t="str">
        <f>IF(G67="NOT FOUND","",INDEX(Components!$C$2:$C$500,MATCH(F67,Components!$I$2:$I$500,0)))</f>
        <v>L</v>
      </c>
      <c r="I67" s="26">
        <f t="shared" si="17"/>
        <v>1</v>
      </c>
      <c r="J67" s="27">
        <f t="shared" si="18"/>
        <v>0.3</v>
      </c>
      <c r="K67" s="24">
        <f>IF(G67="NOT FOUND","",INDEX(Components!$J$2:$J$500,MATCH(F67,Components!$I$2:$I$500,0)))</f>
        <v>1.1499999999999999</v>
      </c>
      <c r="L67" s="24">
        <f t="shared" si="19"/>
        <v>0.34499999999999997</v>
      </c>
      <c r="M67" s="15" t="str">
        <f>IF(G67="NOT FOUND","",IF(INDEX(Components!$G$2:$G$500,MATCH(F67,Components!$I$2:$I$500,0))="","UNKNOWN",INDEX(Components!$G$2:$G$500,MATCH(F67,Components!$I$2:$I$500,0))))</f>
        <v>CA</v>
      </c>
      <c r="N67" s="15" t="str">
        <f t="shared" si="20"/>
        <v>Domestic</v>
      </c>
      <c r="O67" s="15" t="str">
        <f>IF(G67="NOT FOUND","",INDEX(Components!$F$2:$F$500,MATCH(F67,Components!$I$2:$I$500,0)))</f>
        <v>SUP-12</v>
      </c>
      <c r="P67" s="28">
        <f>SUMIFS(Sales!$G$2:$G$500,Sales!$I$2:$I$500,A67)</f>
        <v>90</v>
      </c>
      <c r="Q67" s="29">
        <f t="shared" si="21"/>
        <v>31.049999999999997</v>
      </c>
      <c r="R67" s="15" t="str">
        <f t="shared" si="22"/>
        <v/>
      </c>
      <c r="S67" s="15" t="str">
        <f t="shared" si="23"/>
        <v>OK</v>
      </c>
    </row>
    <row r="68" spans="1:19" x14ac:dyDescent="0.3">
      <c r="A68" s="12" t="s">
        <v>122</v>
      </c>
      <c r="B68" s="12">
        <v>10</v>
      </c>
      <c r="C68" s="12" t="s">
        <v>176</v>
      </c>
      <c r="D68" s="25">
        <v>0.1575</v>
      </c>
      <c r="E68" s="12" t="s">
        <v>66</v>
      </c>
      <c r="F68" s="15" t="str">
        <f t="shared" si="16"/>
        <v>CMT-GU</v>
      </c>
      <c r="G68" s="15" t="str">
        <f>IFERROR(INDEX(Components!$B$2:$B$500,MATCH(F68,Components!$I$2:$I$500,0)),"NOT FOUND")</f>
        <v>Portland cement Type GU</v>
      </c>
      <c r="H68" s="15" t="str">
        <f>IF(G68="NOT FOUND","",INDEX(Components!$C$2:$C$500,MATCH(F68,Components!$I$2:$I$500,0)))</f>
        <v>T</v>
      </c>
      <c r="I68" s="26">
        <f t="shared" si="17"/>
        <v>1</v>
      </c>
      <c r="J68" s="27">
        <f t="shared" si="18"/>
        <v>0.1575</v>
      </c>
      <c r="K68" s="24">
        <f>IF(G68="NOT FOUND","",INDEX(Components!$J$2:$J$500,MATCH(F68,Components!$I$2:$I$500,0)))</f>
        <v>235</v>
      </c>
      <c r="L68" s="24">
        <f t="shared" si="19"/>
        <v>37.012500000000003</v>
      </c>
      <c r="M68" s="15" t="str">
        <f>IF(G68="NOT FOUND","",IF(INDEX(Components!$G$2:$G$500,MATCH(F68,Components!$I$2:$I$500,0))="","UNKNOWN",INDEX(Components!$G$2:$G$500,MATCH(F68,Components!$I$2:$I$500,0))))</f>
        <v>CA</v>
      </c>
      <c r="N68" s="15" t="str">
        <f t="shared" si="20"/>
        <v>Domestic</v>
      </c>
      <c r="O68" s="15" t="str">
        <f>IF(G68="NOT FOUND","",INDEX(Components!$F$2:$F$500,MATCH(F68,Components!$I$2:$I$500,0)))</f>
        <v>SUP-01</v>
      </c>
      <c r="P68" s="28">
        <f>SUMIFS(Sales!$G$2:$G$500,Sales!$I$2:$I$500,A68)</f>
        <v>172</v>
      </c>
      <c r="Q68" s="29">
        <f t="shared" si="21"/>
        <v>6366.1500000000005</v>
      </c>
      <c r="R68" s="15" t="str">
        <f t="shared" si="22"/>
        <v/>
      </c>
      <c r="S68" s="15" t="str">
        <f t="shared" si="23"/>
        <v>OK</v>
      </c>
    </row>
    <row r="69" spans="1:19" x14ac:dyDescent="0.3">
      <c r="A69" s="12" t="s">
        <v>122</v>
      </c>
      <c r="B69" s="12">
        <v>20</v>
      </c>
      <c r="C69" s="12" t="s">
        <v>179</v>
      </c>
      <c r="D69" s="25">
        <v>3.15E-2</v>
      </c>
      <c r="E69" s="12" t="s">
        <v>66</v>
      </c>
      <c r="F69" s="15" t="str">
        <f t="shared" si="16"/>
        <v>SCM-FA</v>
      </c>
      <c r="G69" s="15" t="str">
        <f>IFERROR(INDEX(Components!$B$2:$B$500,MATCH(F69,Components!$I$2:$I$500,0)),"NOT FOUND")</f>
        <v>Fly ash Class F</v>
      </c>
      <c r="H69" s="15" t="str">
        <f>IF(G69="NOT FOUND","",INDEX(Components!$C$2:$C$500,MATCH(F69,Components!$I$2:$I$500,0)))</f>
        <v>T</v>
      </c>
      <c r="I69" s="26">
        <f t="shared" si="17"/>
        <v>1</v>
      </c>
      <c r="J69" s="27">
        <f t="shared" si="18"/>
        <v>3.15E-2</v>
      </c>
      <c r="K69" s="24">
        <f>IF(G69="NOT FOUND","",INDEX(Components!$J$2:$J$500,MATCH(F69,Components!$I$2:$I$500,0)))</f>
        <v>98.640000000000015</v>
      </c>
      <c r="L69" s="24">
        <f t="shared" si="19"/>
        <v>3.1071600000000004</v>
      </c>
      <c r="M69" s="15" t="str">
        <f>IF(G69="NOT FOUND","",IF(INDEX(Components!$G$2:$G$500,MATCH(F69,Components!$I$2:$I$500,0))="","UNKNOWN",INDEX(Components!$G$2:$G$500,MATCH(F69,Components!$I$2:$I$500,0))))</f>
        <v>US</v>
      </c>
      <c r="N69" s="15" t="str">
        <f t="shared" si="20"/>
        <v>Imported</v>
      </c>
      <c r="O69" s="15" t="str">
        <f>IF(G69="NOT FOUND","",INDEX(Components!$F$2:$F$500,MATCH(F69,Components!$I$2:$I$500,0)))</f>
        <v>SUP-02</v>
      </c>
      <c r="P69" s="28">
        <f>SUMIFS(Sales!$G$2:$G$500,Sales!$I$2:$I$500,A69)</f>
        <v>172</v>
      </c>
      <c r="Q69" s="29">
        <f t="shared" si="21"/>
        <v>534.43152000000009</v>
      </c>
      <c r="R69" s="15" t="str">
        <f t="shared" si="22"/>
        <v/>
      </c>
      <c r="S69" s="15" t="str">
        <f t="shared" si="23"/>
        <v>OK</v>
      </c>
    </row>
    <row r="70" spans="1:19" x14ac:dyDescent="0.3">
      <c r="A70" s="12" t="s">
        <v>122</v>
      </c>
      <c r="B70" s="12">
        <v>30</v>
      </c>
      <c r="C70" s="12" t="s">
        <v>182</v>
      </c>
      <c r="D70" s="25">
        <v>0.47249999999999998</v>
      </c>
      <c r="E70" s="12" t="s">
        <v>66</v>
      </c>
      <c r="F70" s="15" t="str">
        <f t="shared" si="16"/>
        <v>AGG-20</v>
      </c>
      <c r="G70" s="15" t="str">
        <f>IFERROR(INDEX(Components!$B$2:$B$500,MATCH(F70,Components!$I$2:$I$500,0)),"NOT FOUND")</f>
        <v>Coarse aggregate 20 mm</v>
      </c>
      <c r="H70" s="15" t="str">
        <f>IF(G70="NOT FOUND","",INDEX(Components!$C$2:$C$500,MATCH(F70,Components!$I$2:$I$500,0)))</f>
        <v>T</v>
      </c>
      <c r="I70" s="26">
        <f t="shared" si="17"/>
        <v>1</v>
      </c>
      <c r="J70" s="27">
        <f t="shared" si="18"/>
        <v>0.47249999999999998</v>
      </c>
      <c r="K70" s="24">
        <f>IF(G70="NOT FOUND","",INDEX(Components!$J$2:$J$500,MATCH(F70,Components!$I$2:$I$500,0)))</f>
        <v>28</v>
      </c>
      <c r="L70" s="24">
        <f t="shared" si="19"/>
        <v>13.229999999999999</v>
      </c>
      <c r="M70" s="15" t="str">
        <f>IF(G70="NOT FOUND","",IF(INDEX(Components!$G$2:$G$500,MATCH(F70,Components!$I$2:$I$500,0))="","UNKNOWN",INDEX(Components!$G$2:$G$500,MATCH(F70,Components!$I$2:$I$500,0))))</f>
        <v>CA</v>
      </c>
      <c r="N70" s="15" t="str">
        <f t="shared" si="20"/>
        <v>Domestic</v>
      </c>
      <c r="O70" s="15" t="str">
        <f>IF(G70="NOT FOUND","",INDEX(Components!$F$2:$F$500,MATCH(F70,Components!$I$2:$I$500,0)))</f>
        <v>SUP-03</v>
      </c>
      <c r="P70" s="28">
        <f>SUMIFS(Sales!$G$2:$G$500,Sales!$I$2:$I$500,A70)</f>
        <v>172</v>
      </c>
      <c r="Q70" s="29">
        <f t="shared" si="21"/>
        <v>2275.56</v>
      </c>
      <c r="R70" s="15" t="str">
        <f t="shared" si="22"/>
        <v/>
      </c>
      <c r="S70" s="15" t="str">
        <f t="shared" si="23"/>
        <v>OK</v>
      </c>
    </row>
    <row r="71" spans="1:19" x14ac:dyDescent="0.3">
      <c r="A71" s="12" t="s">
        <v>122</v>
      </c>
      <c r="B71" s="12">
        <v>40</v>
      </c>
      <c r="C71" s="12" t="s">
        <v>185</v>
      </c>
      <c r="D71" s="25">
        <v>0.33750000000000002</v>
      </c>
      <c r="E71" s="12" t="s">
        <v>66</v>
      </c>
      <c r="F71" s="15" t="str">
        <f t="shared" si="16"/>
        <v>AGG-SND</v>
      </c>
      <c r="G71" s="15" t="str">
        <f>IFERROR(INDEX(Components!$B$2:$B$500,MATCH(F71,Components!$I$2:$I$500,0)),"NOT FOUND")</f>
        <v>Concrete sand</v>
      </c>
      <c r="H71" s="15" t="str">
        <f>IF(G71="NOT FOUND","",INDEX(Components!$C$2:$C$500,MATCH(F71,Components!$I$2:$I$500,0)))</f>
        <v>T</v>
      </c>
      <c r="I71" s="26">
        <f t="shared" si="17"/>
        <v>1</v>
      </c>
      <c r="J71" s="27">
        <f t="shared" si="18"/>
        <v>0.33750000000000002</v>
      </c>
      <c r="K71" s="24">
        <f>IF(G71="NOT FOUND","",INDEX(Components!$J$2:$J$500,MATCH(F71,Components!$I$2:$I$500,0)))</f>
        <v>24</v>
      </c>
      <c r="L71" s="24">
        <f t="shared" si="19"/>
        <v>8.1000000000000014</v>
      </c>
      <c r="M71" s="15" t="str">
        <f>IF(G71="NOT FOUND","",IF(INDEX(Components!$G$2:$G$500,MATCH(F71,Components!$I$2:$I$500,0))="","UNKNOWN",INDEX(Components!$G$2:$G$500,MATCH(F71,Components!$I$2:$I$500,0))))</f>
        <v>CA</v>
      </c>
      <c r="N71" s="15" t="str">
        <f t="shared" si="20"/>
        <v>Domestic</v>
      </c>
      <c r="O71" s="15" t="str">
        <f>IF(G71="NOT FOUND","",INDEX(Components!$F$2:$F$500,MATCH(F71,Components!$I$2:$I$500,0)))</f>
        <v>SUP-03</v>
      </c>
      <c r="P71" s="28">
        <f>SUMIFS(Sales!$G$2:$G$500,Sales!$I$2:$I$500,A71)</f>
        <v>172</v>
      </c>
      <c r="Q71" s="29">
        <f t="shared" si="21"/>
        <v>1393.2000000000003</v>
      </c>
      <c r="R71" s="15" t="str">
        <f t="shared" si="22"/>
        <v/>
      </c>
      <c r="S71" s="15" t="str">
        <f t="shared" si="23"/>
        <v>OK</v>
      </c>
    </row>
    <row r="72" spans="1:19" x14ac:dyDescent="0.3">
      <c r="A72" s="12" t="s">
        <v>122</v>
      </c>
      <c r="B72" s="12">
        <v>50</v>
      </c>
      <c r="C72" s="12" t="s">
        <v>188</v>
      </c>
      <c r="D72" s="25">
        <v>0.9</v>
      </c>
      <c r="E72" s="12" t="s">
        <v>190</v>
      </c>
      <c r="F72" s="15" t="str">
        <f t="shared" si="16"/>
        <v>ADM-SP</v>
      </c>
      <c r="G72" s="15" t="str">
        <f>IFERROR(INDEX(Components!$B$2:$B$500,MATCH(F72,Components!$I$2:$I$500,0)),"NOT FOUND")</f>
        <v>Superplasticizer admixture</v>
      </c>
      <c r="H72" s="15" t="str">
        <f>IF(G72="NOT FOUND","",INDEX(Components!$C$2:$C$500,MATCH(F72,Components!$I$2:$I$500,0)))</f>
        <v>L</v>
      </c>
      <c r="I72" s="26">
        <f t="shared" si="17"/>
        <v>1</v>
      </c>
      <c r="J72" s="27">
        <f t="shared" si="18"/>
        <v>0.9</v>
      </c>
      <c r="K72" s="24">
        <f>IF(G72="NOT FOUND","",INDEX(Components!$J$2:$J$500,MATCH(F72,Components!$I$2:$I$500,0)))</f>
        <v>4.2470000000000008</v>
      </c>
      <c r="L72" s="24">
        <f t="shared" si="19"/>
        <v>3.8223000000000007</v>
      </c>
      <c r="M72" s="15" t="str">
        <f>IF(G72="NOT FOUND","",IF(INDEX(Components!$G$2:$G$500,MATCH(F72,Components!$I$2:$I$500,0))="","UNKNOWN",INDEX(Components!$G$2:$G$500,MATCH(F72,Components!$I$2:$I$500,0))))</f>
        <v>US</v>
      </c>
      <c r="N72" s="15" t="str">
        <f t="shared" si="20"/>
        <v>Imported</v>
      </c>
      <c r="O72" s="15" t="str">
        <f>IF(G72="NOT FOUND","",INDEX(Components!$F$2:$F$500,MATCH(F72,Components!$I$2:$I$500,0)))</f>
        <v>SUP-04</v>
      </c>
      <c r="P72" s="28">
        <f>SUMIFS(Sales!$G$2:$G$500,Sales!$I$2:$I$500,A72)</f>
        <v>172</v>
      </c>
      <c r="Q72" s="29">
        <f t="shared" si="21"/>
        <v>657.43560000000014</v>
      </c>
      <c r="R72" s="15" t="str">
        <f t="shared" si="22"/>
        <v/>
      </c>
      <c r="S72" s="15" t="str">
        <f t="shared" si="23"/>
        <v>OK</v>
      </c>
    </row>
    <row r="73" spans="1:19" x14ac:dyDescent="0.3">
      <c r="A73" s="12" t="s">
        <v>122</v>
      </c>
      <c r="B73" s="12">
        <v>60</v>
      </c>
      <c r="C73" s="12" t="s">
        <v>192</v>
      </c>
      <c r="D73" s="25">
        <v>0.18</v>
      </c>
      <c r="E73" s="12" t="s">
        <v>190</v>
      </c>
      <c r="F73" s="15" t="str">
        <f t="shared" si="16"/>
        <v>ADM-AE</v>
      </c>
      <c r="G73" s="15" t="str">
        <f>IFERROR(INDEX(Components!$B$2:$B$500,MATCH(F73,Components!$I$2:$I$500,0)),"NOT FOUND")</f>
        <v>Air-entraining admixture</v>
      </c>
      <c r="H73" s="15" t="str">
        <f>IF(G73="NOT FOUND","",INDEX(Components!$C$2:$C$500,MATCH(F73,Components!$I$2:$I$500,0)))</f>
        <v>L</v>
      </c>
      <c r="I73" s="26">
        <f t="shared" si="17"/>
        <v>1</v>
      </c>
      <c r="J73" s="27">
        <f t="shared" si="18"/>
        <v>0.18</v>
      </c>
      <c r="K73" s="24">
        <f>IF(G73="NOT FOUND","",INDEX(Components!$J$2:$J$500,MATCH(F73,Components!$I$2:$I$500,0)))</f>
        <v>3.2880000000000003</v>
      </c>
      <c r="L73" s="24">
        <f t="shared" si="19"/>
        <v>0.59184000000000003</v>
      </c>
      <c r="M73" s="15" t="str">
        <f>IF(G73="NOT FOUND","",IF(INDEX(Components!$G$2:$G$500,MATCH(F73,Components!$I$2:$I$500,0))="","UNKNOWN",INDEX(Components!$G$2:$G$500,MATCH(F73,Components!$I$2:$I$500,0))))</f>
        <v>US</v>
      </c>
      <c r="N73" s="15" t="str">
        <f t="shared" si="20"/>
        <v>Imported</v>
      </c>
      <c r="O73" s="15" t="str">
        <f>IF(G73="NOT FOUND","",INDEX(Components!$F$2:$F$500,MATCH(F73,Components!$I$2:$I$500,0)))</f>
        <v>SUP-04</v>
      </c>
      <c r="P73" s="28">
        <f>SUMIFS(Sales!$G$2:$G$500,Sales!$I$2:$I$500,A73)</f>
        <v>172</v>
      </c>
      <c r="Q73" s="29">
        <f t="shared" si="21"/>
        <v>101.79648</v>
      </c>
      <c r="R73" s="15" t="str">
        <f t="shared" si="22"/>
        <v/>
      </c>
      <c r="S73" s="15" t="str">
        <f t="shared" si="23"/>
        <v>OK</v>
      </c>
    </row>
    <row r="74" spans="1:19" x14ac:dyDescent="0.3">
      <c r="A74" s="12" t="s">
        <v>122</v>
      </c>
      <c r="B74" s="12">
        <v>70</v>
      </c>
      <c r="C74" s="12" t="s">
        <v>195</v>
      </c>
      <c r="D74" s="25">
        <v>18</v>
      </c>
      <c r="E74" s="12" t="s">
        <v>62</v>
      </c>
      <c r="F74" s="15" t="str">
        <f t="shared" si="16"/>
        <v>RB-10M</v>
      </c>
      <c r="G74" s="15" t="str">
        <f>IFERROR(INDEX(Components!$B$2:$B$500,MATCH(F74,Components!$I$2:$I$500,0)),"NOT FOUND")</f>
        <v>Rebar 10M</v>
      </c>
      <c r="H74" s="15" t="str">
        <f>IF(G74="NOT FOUND","",INDEX(Components!$C$2:$C$500,MATCH(F74,Components!$I$2:$I$500,0)))</f>
        <v>KG</v>
      </c>
      <c r="I74" s="26">
        <f t="shared" si="17"/>
        <v>1</v>
      </c>
      <c r="J74" s="27">
        <f t="shared" si="18"/>
        <v>18</v>
      </c>
      <c r="K74" s="24">
        <f>IF(G74="NOT FOUND","",INDEX(Components!$J$2:$J$500,MATCH(F74,Components!$I$2:$I$500,0)))</f>
        <v>1.38</v>
      </c>
      <c r="L74" s="24">
        <f t="shared" si="19"/>
        <v>24.839999999999996</v>
      </c>
      <c r="M74" s="15" t="str">
        <f>IF(G74="NOT FOUND","",IF(INDEX(Components!$G$2:$G$500,MATCH(F74,Components!$I$2:$I$500,0))="","UNKNOWN",INDEX(Components!$G$2:$G$500,MATCH(F74,Components!$I$2:$I$500,0))))</f>
        <v>CA</v>
      </c>
      <c r="N74" s="15" t="str">
        <f t="shared" si="20"/>
        <v>Domestic</v>
      </c>
      <c r="O74" s="15" t="str">
        <f>IF(G74="NOT FOUND","",INDEX(Components!$F$2:$F$500,MATCH(F74,Components!$I$2:$I$500,0)))</f>
        <v>SUP-05</v>
      </c>
      <c r="P74" s="28">
        <f>SUMIFS(Sales!$G$2:$G$500,Sales!$I$2:$I$500,A74)</f>
        <v>172</v>
      </c>
      <c r="Q74" s="29">
        <f t="shared" si="21"/>
        <v>4272.4799999999996</v>
      </c>
      <c r="R74" s="15" t="str">
        <f t="shared" si="22"/>
        <v/>
      </c>
      <c r="S74" s="15" t="str">
        <f t="shared" si="23"/>
        <v>OK</v>
      </c>
    </row>
    <row r="75" spans="1:19" x14ac:dyDescent="0.3">
      <c r="A75" s="12" t="s">
        <v>122</v>
      </c>
      <c r="B75" s="12">
        <v>80</v>
      </c>
      <c r="C75" s="12" t="s">
        <v>244</v>
      </c>
      <c r="D75" s="25">
        <v>1</v>
      </c>
      <c r="E75" s="12" t="s">
        <v>106</v>
      </c>
      <c r="F75" s="15" t="str">
        <f t="shared" si="16"/>
        <v>CST-FRM</v>
      </c>
      <c r="G75" s="15" t="str">
        <f>IFERROR(INDEX(Components!$B$2:$B$500,MATCH(F75,Components!$I$2:$I$500,0)),"NOT FOUND")</f>
        <v>Catch basin frame and grate casting</v>
      </c>
      <c r="H75" s="15" t="str">
        <f>IF(G75="NOT FOUND","",INDEX(Components!$C$2:$C$500,MATCH(F75,Components!$I$2:$I$500,0)))</f>
        <v>EA</v>
      </c>
      <c r="I75" s="26">
        <f t="shared" si="17"/>
        <v>1</v>
      </c>
      <c r="J75" s="27">
        <f t="shared" si="18"/>
        <v>1</v>
      </c>
      <c r="K75" s="24">
        <f>IF(G75="NOT FOUND","",INDEX(Components!$J$2:$J$500,MATCH(F75,Components!$I$2:$I$500,0)))</f>
        <v>210</v>
      </c>
      <c r="L75" s="24">
        <f t="shared" si="19"/>
        <v>210</v>
      </c>
      <c r="M75" s="15" t="str">
        <f>IF(G75="NOT FOUND","",IF(INDEX(Components!$G$2:$G$500,MATCH(F75,Components!$I$2:$I$500,0))="","UNKNOWN",INDEX(Components!$G$2:$G$500,MATCH(F75,Components!$I$2:$I$500,0))))</f>
        <v>IN</v>
      </c>
      <c r="N75" s="15" t="str">
        <f t="shared" si="20"/>
        <v>Imported</v>
      </c>
      <c r="O75" s="15" t="str">
        <f>IF(G75="NOT FOUND","",INDEX(Components!$F$2:$F$500,MATCH(F75,Components!$I$2:$I$500,0)))</f>
        <v>SUP-11</v>
      </c>
      <c r="P75" s="28">
        <f>SUMIFS(Sales!$G$2:$G$500,Sales!$I$2:$I$500,A75)</f>
        <v>172</v>
      </c>
      <c r="Q75" s="29">
        <f t="shared" si="21"/>
        <v>36120</v>
      </c>
      <c r="R75" s="15" t="str">
        <f t="shared" si="22"/>
        <v/>
      </c>
      <c r="S75" s="15" t="str">
        <f t="shared" si="23"/>
        <v>OK</v>
      </c>
    </row>
    <row r="76" spans="1:19" x14ac:dyDescent="0.3">
      <c r="A76" s="12" t="s">
        <v>122</v>
      </c>
      <c r="B76" s="12">
        <v>90</v>
      </c>
      <c r="C76" s="12" t="s">
        <v>227</v>
      </c>
      <c r="D76" s="25">
        <v>0.3</v>
      </c>
      <c r="E76" s="12" t="s">
        <v>190</v>
      </c>
      <c r="F76" s="15" t="str">
        <f t="shared" si="16"/>
        <v>FRM-OIL</v>
      </c>
      <c r="G76" s="15" t="str">
        <f>IFERROR(INDEX(Components!$B$2:$B$500,MATCH(F76,Components!$I$2:$I$500,0)),"NOT FOUND")</f>
        <v>Form release agent</v>
      </c>
      <c r="H76" s="15" t="str">
        <f>IF(G76="NOT FOUND","",INDEX(Components!$C$2:$C$500,MATCH(F76,Components!$I$2:$I$500,0)))</f>
        <v>L</v>
      </c>
      <c r="I76" s="26">
        <f t="shared" si="17"/>
        <v>1</v>
      </c>
      <c r="J76" s="27">
        <f t="shared" si="18"/>
        <v>0.3</v>
      </c>
      <c r="K76" s="24">
        <f>IF(G76="NOT FOUND","",INDEX(Components!$J$2:$J$500,MATCH(F76,Components!$I$2:$I$500,0)))</f>
        <v>1.1499999999999999</v>
      </c>
      <c r="L76" s="24">
        <f t="shared" si="19"/>
        <v>0.34499999999999997</v>
      </c>
      <c r="M76" s="15" t="str">
        <f>IF(G76="NOT FOUND","",IF(INDEX(Components!$G$2:$G$500,MATCH(F76,Components!$I$2:$I$500,0))="","UNKNOWN",INDEX(Components!$G$2:$G$500,MATCH(F76,Components!$I$2:$I$500,0))))</f>
        <v>CA</v>
      </c>
      <c r="N76" s="15" t="str">
        <f t="shared" si="20"/>
        <v>Domestic</v>
      </c>
      <c r="O76" s="15" t="str">
        <f>IF(G76="NOT FOUND","",INDEX(Components!$F$2:$F$500,MATCH(F76,Components!$I$2:$I$500,0)))</f>
        <v>SUP-12</v>
      </c>
      <c r="P76" s="28">
        <f>SUMIFS(Sales!$G$2:$G$500,Sales!$I$2:$I$500,A76)</f>
        <v>172</v>
      </c>
      <c r="Q76" s="29">
        <f t="shared" si="21"/>
        <v>59.339999999999996</v>
      </c>
      <c r="R76" s="15" t="str">
        <f t="shared" si="22"/>
        <v/>
      </c>
      <c r="S76" s="15" t="str">
        <f t="shared" si="23"/>
        <v>OK</v>
      </c>
    </row>
    <row r="77" spans="1:19" x14ac:dyDescent="0.3">
      <c r="A77" s="12" t="s">
        <v>125</v>
      </c>
      <c r="B77" s="12">
        <v>10</v>
      </c>
      <c r="C77" s="12" t="s">
        <v>176</v>
      </c>
      <c r="D77" s="25">
        <v>0.53200000000000003</v>
      </c>
      <c r="E77" s="12" t="s">
        <v>66</v>
      </c>
      <c r="F77" s="15" t="str">
        <f t="shared" si="16"/>
        <v>CMT-GU</v>
      </c>
      <c r="G77" s="15" t="str">
        <f>IFERROR(INDEX(Components!$B$2:$B$500,MATCH(F77,Components!$I$2:$I$500,0)),"NOT FOUND")</f>
        <v>Portland cement Type GU</v>
      </c>
      <c r="H77" s="15" t="str">
        <f>IF(G77="NOT FOUND","",INDEX(Components!$C$2:$C$500,MATCH(F77,Components!$I$2:$I$500,0)))</f>
        <v>T</v>
      </c>
      <c r="I77" s="26">
        <f t="shared" si="17"/>
        <v>1</v>
      </c>
      <c r="J77" s="27">
        <f t="shared" si="18"/>
        <v>0.53200000000000003</v>
      </c>
      <c r="K77" s="24">
        <f>IF(G77="NOT FOUND","",INDEX(Components!$J$2:$J$500,MATCH(F77,Components!$I$2:$I$500,0)))</f>
        <v>235</v>
      </c>
      <c r="L77" s="24">
        <f t="shared" si="19"/>
        <v>125.02000000000001</v>
      </c>
      <c r="M77" s="15" t="str">
        <f>IF(G77="NOT FOUND","",IF(INDEX(Components!$G$2:$G$500,MATCH(F77,Components!$I$2:$I$500,0))="","UNKNOWN",INDEX(Components!$G$2:$G$500,MATCH(F77,Components!$I$2:$I$500,0))))</f>
        <v>CA</v>
      </c>
      <c r="N77" s="15" t="str">
        <f t="shared" si="20"/>
        <v>Domestic</v>
      </c>
      <c r="O77" s="15" t="str">
        <f>IF(G77="NOT FOUND","",INDEX(Components!$F$2:$F$500,MATCH(F77,Components!$I$2:$I$500,0)))</f>
        <v>SUP-01</v>
      </c>
      <c r="P77" s="28">
        <f>SUMIFS(Sales!$G$2:$G$500,Sales!$I$2:$I$500,A77)</f>
        <v>646</v>
      </c>
      <c r="Q77" s="29">
        <f t="shared" si="21"/>
        <v>80762.920000000013</v>
      </c>
      <c r="R77" s="15" t="str">
        <f t="shared" si="22"/>
        <v/>
      </c>
      <c r="S77" s="15" t="str">
        <f t="shared" si="23"/>
        <v>OK</v>
      </c>
    </row>
    <row r="78" spans="1:19" x14ac:dyDescent="0.3">
      <c r="A78" s="12" t="s">
        <v>125</v>
      </c>
      <c r="B78" s="12">
        <v>20</v>
      </c>
      <c r="C78" s="12" t="s">
        <v>179</v>
      </c>
      <c r="D78" s="25">
        <v>0.10639999999999999</v>
      </c>
      <c r="E78" s="12" t="s">
        <v>66</v>
      </c>
      <c r="F78" s="15" t="str">
        <f t="shared" si="16"/>
        <v>SCM-FA</v>
      </c>
      <c r="G78" s="15" t="str">
        <f>IFERROR(INDEX(Components!$B$2:$B$500,MATCH(F78,Components!$I$2:$I$500,0)),"NOT FOUND")</f>
        <v>Fly ash Class F</v>
      </c>
      <c r="H78" s="15" t="str">
        <f>IF(G78="NOT FOUND","",INDEX(Components!$C$2:$C$500,MATCH(F78,Components!$I$2:$I$500,0)))</f>
        <v>T</v>
      </c>
      <c r="I78" s="26">
        <f t="shared" si="17"/>
        <v>1</v>
      </c>
      <c r="J78" s="27">
        <f t="shared" si="18"/>
        <v>0.10639999999999999</v>
      </c>
      <c r="K78" s="24">
        <f>IF(G78="NOT FOUND","",INDEX(Components!$J$2:$J$500,MATCH(F78,Components!$I$2:$I$500,0)))</f>
        <v>98.640000000000015</v>
      </c>
      <c r="L78" s="24">
        <f t="shared" si="19"/>
        <v>10.495296000000002</v>
      </c>
      <c r="M78" s="15" t="str">
        <f>IF(G78="NOT FOUND","",IF(INDEX(Components!$G$2:$G$500,MATCH(F78,Components!$I$2:$I$500,0))="","UNKNOWN",INDEX(Components!$G$2:$G$500,MATCH(F78,Components!$I$2:$I$500,0))))</f>
        <v>US</v>
      </c>
      <c r="N78" s="15" t="str">
        <f t="shared" si="20"/>
        <v>Imported</v>
      </c>
      <c r="O78" s="15" t="str">
        <f>IF(G78="NOT FOUND","",INDEX(Components!$F$2:$F$500,MATCH(F78,Components!$I$2:$I$500,0)))</f>
        <v>SUP-02</v>
      </c>
      <c r="P78" s="28">
        <f>SUMIFS(Sales!$G$2:$G$500,Sales!$I$2:$I$500,A78)</f>
        <v>646</v>
      </c>
      <c r="Q78" s="29">
        <f t="shared" si="21"/>
        <v>6779.9612160000006</v>
      </c>
      <c r="R78" s="15" t="str">
        <f t="shared" si="22"/>
        <v/>
      </c>
      <c r="S78" s="15" t="str">
        <f t="shared" si="23"/>
        <v>OK</v>
      </c>
    </row>
    <row r="79" spans="1:19" x14ac:dyDescent="0.3">
      <c r="A79" s="12" t="s">
        <v>125</v>
      </c>
      <c r="B79" s="12">
        <v>30</v>
      </c>
      <c r="C79" s="12" t="s">
        <v>182</v>
      </c>
      <c r="D79" s="25">
        <v>1.5960000000000001</v>
      </c>
      <c r="E79" s="12" t="s">
        <v>66</v>
      </c>
      <c r="F79" s="15" t="str">
        <f t="shared" si="16"/>
        <v>AGG-20</v>
      </c>
      <c r="G79" s="15" t="str">
        <f>IFERROR(INDEX(Components!$B$2:$B$500,MATCH(F79,Components!$I$2:$I$500,0)),"NOT FOUND")</f>
        <v>Coarse aggregate 20 mm</v>
      </c>
      <c r="H79" s="15" t="str">
        <f>IF(G79="NOT FOUND","",INDEX(Components!$C$2:$C$500,MATCH(F79,Components!$I$2:$I$500,0)))</f>
        <v>T</v>
      </c>
      <c r="I79" s="26">
        <f t="shared" si="17"/>
        <v>1</v>
      </c>
      <c r="J79" s="27">
        <f t="shared" si="18"/>
        <v>1.5960000000000001</v>
      </c>
      <c r="K79" s="24">
        <f>IF(G79="NOT FOUND","",INDEX(Components!$J$2:$J$500,MATCH(F79,Components!$I$2:$I$500,0)))</f>
        <v>28</v>
      </c>
      <c r="L79" s="24">
        <f t="shared" si="19"/>
        <v>44.688000000000002</v>
      </c>
      <c r="M79" s="15" t="str">
        <f>IF(G79="NOT FOUND","",IF(INDEX(Components!$G$2:$G$500,MATCH(F79,Components!$I$2:$I$500,0))="","UNKNOWN",INDEX(Components!$G$2:$G$500,MATCH(F79,Components!$I$2:$I$500,0))))</f>
        <v>CA</v>
      </c>
      <c r="N79" s="15" t="str">
        <f t="shared" si="20"/>
        <v>Domestic</v>
      </c>
      <c r="O79" s="15" t="str">
        <f>IF(G79="NOT FOUND","",INDEX(Components!$F$2:$F$500,MATCH(F79,Components!$I$2:$I$500,0)))</f>
        <v>SUP-03</v>
      </c>
      <c r="P79" s="28">
        <f>SUMIFS(Sales!$G$2:$G$500,Sales!$I$2:$I$500,A79)</f>
        <v>646</v>
      </c>
      <c r="Q79" s="29">
        <f t="shared" si="21"/>
        <v>28868.448</v>
      </c>
      <c r="R79" s="15" t="str">
        <f t="shared" si="22"/>
        <v/>
      </c>
      <c r="S79" s="15" t="str">
        <f t="shared" si="23"/>
        <v>OK</v>
      </c>
    </row>
    <row r="80" spans="1:19" x14ac:dyDescent="0.3">
      <c r="A80" s="12" t="s">
        <v>125</v>
      </c>
      <c r="B80" s="12">
        <v>40</v>
      </c>
      <c r="C80" s="12" t="s">
        <v>185</v>
      </c>
      <c r="D80" s="25">
        <v>1.1399999999999999</v>
      </c>
      <c r="E80" s="12" t="s">
        <v>66</v>
      </c>
      <c r="F80" s="15" t="str">
        <f t="shared" si="16"/>
        <v>AGG-SND</v>
      </c>
      <c r="G80" s="15" t="str">
        <f>IFERROR(INDEX(Components!$B$2:$B$500,MATCH(F80,Components!$I$2:$I$500,0)),"NOT FOUND")</f>
        <v>Concrete sand</v>
      </c>
      <c r="H80" s="15" t="str">
        <f>IF(G80="NOT FOUND","",INDEX(Components!$C$2:$C$500,MATCH(F80,Components!$I$2:$I$500,0)))</f>
        <v>T</v>
      </c>
      <c r="I80" s="26">
        <f t="shared" si="17"/>
        <v>1</v>
      </c>
      <c r="J80" s="27">
        <f t="shared" si="18"/>
        <v>1.1399999999999999</v>
      </c>
      <c r="K80" s="24">
        <f>IF(G80="NOT FOUND","",INDEX(Components!$J$2:$J$500,MATCH(F80,Components!$I$2:$I$500,0)))</f>
        <v>24</v>
      </c>
      <c r="L80" s="24">
        <f t="shared" si="19"/>
        <v>27.36</v>
      </c>
      <c r="M80" s="15" t="str">
        <f>IF(G80="NOT FOUND","",IF(INDEX(Components!$G$2:$G$500,MATCH(F80,Components!$I$2:$I$500,0))="","UNKNOWN",INDEX(Components!$G$2:$G$500,MATCH(F80,Components!$I$2:$I$500,0))))</f>
        <v>CA</v>
      </c>
      <c r="N80" s="15" t="str">
        <f t="shared" si="20"/>
        <v>Domestic</v>
      </c>
      <c r="O80" s="15" t="str">
        <f>IF(G80="NOT FOUND","",INDEX(Components!$F$2:$F$500,MATCH(F80,Components!$I$2:$I$500,0)))</f>
        <v>SUP-03</v>
      </c>
      <c r="P80" s="28">
        <f>SUMIFS(Sales!$G$2:$G$500,Sales!$I$2:$I$500,A80)</f>
        <v>646</v>
      </c>
      <c r="Q80" s="29">
        <f t="shared" si="21"/>
        <v>17674.560000000001</v>
      </c>
      <c r="R80" s="15" t="str">
        <f t="shared" si="22"/>
        <v/>
      </c>
      <c r="S80" s="15" t="str">
        <f t="shared" si="23"/>
        <v>OK</v>
      </c>
    </row>
    <row r="81" spans="1:19" x14ac:dyDescent="0.3">
      <c r="A81" s="12" t="s">
        <v>125</v>
      </c>
      <c r="B81" s="12">
        <v>50</v>
      </c>
      <c r="C81" s="12" t="s">
        <v>188</v>
      </c>
      <c r="D81" s="25">
        <v>3.04</v>
      </c>
      <c r="E81" s="12" t="s">
        <v>190</v>
      </c>
      <c r="F81" s="15" t="str">
        <f t="shared" si="16"/>
        <v>ADM-SP</v>
      </c>
      <c r="G81" s="15" t="str">
        <f>IFERROR(INDEX(Components!$B$2:$B$500,MATCH(F81,Components!$I$2:$I$500,0)),"NOT FOUND")</f>
        <v>Superplasticizer admixture</v>
      </c>
      <c r="H81" s="15" t="str">
        <f>IF(G81="NOT FOUND","",INDEX(Components!$C$2:$C$500,MATCH(F81,Components!$I$2:$I$500,0)))</f>
        <v>L</v>
      </c>
      <c r="I81" s="26">
        <f t="shared" si="17"/>
        <v>1</v>
      </c>
      <c r="J81" s="27">
        <f t="shared" si="18"/>
        <v>3.04</v>
      </c>
      <c r="K81" s="24">
        <f>IF(G81="NOT FOUND","",INDEX(Components!$J$2:$J$500,MATCH(F81,Components!$I$2:$I$500,0)))</f>
        <v>4.2470000000000008</v>
      </c>
      <c r="L81" s="24">
        <f t="shared" si="19"/>
        <v>12.910880000000002</v>
      </c>
      <c r="M81" s="15" t="str">
        <f>IF(G81="NOT FOUND","",IF(INDEX(Components!$G$2:$G$500,MATCH(F81,Components!$I$2:$I$500,0))="","UNKNOWN",INDEX(Components!$G$2:$G$500,MATCH(F81,Components!$I$2:$I$500,0))))</f>
        <v>US</v>
      </c>
      <c r="N81" s="15" t="str">
        <f t="shared" si="20"/>
        <v>Imported</v>
      </c>
      <c r="O81" s="15" t="str">
        <f>IF(G81="NOT FOUND","",INDEX(Components!$F$2:$F$500,MATCH(F81,Components!$I$2:$I$500,0)))</f>
        <v>SUP-04</v>
      </c>
      <c r="P81" s="28">
        <f>SUMIFS(Sales!$G$2:$G$500,Sales!$I$2:$I$500,A81)</f>
        <v>646</v>
      </c>
      <c r="Q81" s="29">
        <f t="shared" si="21"/>
        <v>8340.4284800000023</v>
      </c>
      <c r="R81" s="15" t="str">
        <f t="shared" si="22"/>
        <v/>
      </c>
      <c r="S81" s="15" t="str">
        <f t="shared" si="23"/>
        <v>OK</v>
      </c>
    </row>
    <row r="82" spans="1:19" x14ac:dyDescent="0.3">
      <c r="A82" s="12" t="s">
        <v>125</v>
      </c>
      <c r="B82" s="12">
        <v>60</v>
      </c>
      <c r="C82" s="12" t="s">
        <v>192</v>
      </c>
      <c r="D82" s="25">
        <v>0.60799999999999998</v>
      </c>
      <c r="E82" s="12" t="s">
        <v>190</v>
      </c>
      <c r="F82" s="15" t="str">
        <f t="shared" si="16"/>
        <v>ADM-AE</v>
      </c>
      <c r="G82" s="15" t="str">
        <f>IFERROR(INDEX(Components!$B$2:$B$500,MATCH(F82,Components!$I$2:$I$500,0)),"NOT FOUND")</f>
        <v>Air-entraining admixture</v>
      </c>
      <c r="H82" s="15" t="str">
        <f>IF(G82="NOT FOUND","",INDEX(Components!$C$2:$C$500,MATCH(F82,Components!$I$2:$I$500,0)))</f>
        <v>L</v>
      </c>
      <c r="I82" s="26">
        <f t="shared" si="17"/>
        <v>1</v>
      </c>
      <c r="J82" s="27">
        <f t="shared" si="18"/>
        <v>0.60799999999999998</v>
      </c>
      <c r="K82" s="24">
        <f>IF(G82="NOT FOUND","",INDEX(Components!$J$2:$J$500,MATCH(F82,Components!$I$2:$I$500,0)))</f>
        <v>3.2880000000000003</v>
      </c>
      <c r="L82" s="24">
        <f t="shared" si="19"/>
        <v>1.9991040000000002</v>
      </c>
      <c r="M82" s="15" t="str">
        <f>IF(G82="NOT FOUND","",IF(INDEX(Components!$G$2:$G$500,MATCH(F82,Components!$I$2:$I$500,0))="","UNKNOWN",INDEX(Components!$G$2:$G$500,MATCH(F82,Components!$I$2:$I$500,0))))</f>
        <v>US</v>
      </c>
      <c r="N82" s="15" t="str">
        <f t="shared" si="20"/>
        <v>Imported</v>
      </c>
      <c r="O82" s="15" t="str">
        <f>IF(G82="NOT FOUND","",INDEX(Components!$F$2:$F$500,MATCH(F82,Components!$I$2:$I$500,0)))</f>
        <v>SUP-04</v>
      </c>
      <c r="P82" s="28">
        <f>SUMIFS(Sales!$G$2:$G$500,Sales!$I$2:$I$500,A82)</f>
        <v>646</v>
      </c>
      <c r="Q82" s="29">
        <f t="shared" si="21"/>
        <v>1291.421184</v>
      </c>
      <c r="R82" s="15" t="str">
        <f t="shared" si="22"/>
        <v/>
      </c>
      <c r="S82" s="15" t="str">
        <f t="shared" si="23"/>
        <v>OK</v>
      </c>
    </row>
    <row r="83" spans="1:19" x14ac:dyDescent="0.3">
      <c r="A83" s="12" t="s">
        <v>125</v>
      </c>
      <c r="B83" s="12">
        <v>70</v>
      </c>
      <c r="C83" s="12" t="s">
        <v>198</v>
      </c>
      <c r="D83" s="25">
        <v>70</v>
      </c>
      <c r="E83" s="12" t="s">
        <v>62</v>
      </c>
      <c r="F83" s="15" t="str">
        <f t="shared" si="16"/>
        <v>RB-15M</v>
      </c>
      <c r="G83" s="15" t="str">
        <f>IFERROR(INDEX(Components!$B$2:$B$500,MATCH(F83,Components!$I$2:$I$500,0)),"NOT FOUND")</f>
        <v>Rebar 15M</v>
      </c>
      <c r="H83" s="15" t="str">
        <f>IF(G83="NOT FOUND","",INDEX(Components!$C$2:$C$500,MATCH(F83,Components!$I$2:$I$500,0)))</f>
        <v>KG</v>
      </c>
      <c r="I83" s="26">
        <f t="shared" si="17"/>
        <v>1</v>
      </c>
      <c r="J83" s="27">
        <f t="shared" si="18"/>
        <v>70</v>
      </c>
      <c r="K83" s="24">
        <f>IF(G83="NOT FOUND","",INDEX(Components!$J$2:$J$500,MATCH(F83,Components!$I$2:$I$500,0)))</f>
        <v>1.31</v>
      </c>
      <c r="L83" s="24">
        <f t="shared" si="19"/>
        <v>91.7</v>
      </c>
      <c r="M83" s="15" t="str">
        <f>IF(G83="NOT FOUND","",IF(INDEX(Components!$G$2:$G$500,MATCH(F83,Components!$I$2:$I$500,0))="","UNKNOWN",INDEX(Components!$G$2:$G$500,MATCH(F83,Components!$I$2:$I$500,0))))</f>
        <v>CA</v>
      </c>
      <c r="N83" s="15" t="str">
        <f t="shared" si="20"/>
        <v>Domestic</v>
      </c>
      <c r="O83" s="15" t="str">
        <f>IF(G83="NOT FOUND","",INDEX(Components!$F$2:$F$500,MATCH(F83,Components!$I$2:$I$500,0)))</f>
        <v>SUP-05</v>
      </c>
      <c r="P83" s="28">
        <f>SUMIFS(Sales!$G$2:$G$500,Sales!$I$2:$I$500,A83)</f>
        <v>646</v>
      </c>
      <c r="Q83" s="29">
        <f t="shared" si="21"/>
        <v>59238.200000000004</v>
      </c>
      <c r="R83" s="15" t="str">
        <f t="shared" si="22"/>
        <v/>
      </c>
      <c r="S83" s="15" t="str">
        <f t="shared" si="23"/>
        <v>OK</v>
      </c>
    </row>
    <row r="84" spans="1:19" x14ac:dyDescent="0.3">
      <c r="A84" s="12" t="s">
        <v>125</v>
      </c>
      <c r="B84" s="12">
        <v>80</v>
      </c>
      <c r="C84" s="12" t="s">
        <v>215</v>
      </c>
      <c r="D84" s="25">
        <v>2</v>
      </c>
      <c r="E84" s="12" t="s">
        <v>106</v>
      </c>
      <c r="F84" s="15" t="str">
        <f t="shared" si="16"/>
        <v>LFT-ANC</v>
      </c>
      <c r="G84" s="15" t="str">
        <f>IFERROR(INDEX(Components!$B$2:$B$500,MATCH(F84,Components!$I$2:$I$500,0)),"NOT FOUND")</f>
        <v>Lifting anchor 2.5 t</v>
      </c>
      <c r="H84" s="15" t="str">
        <f>IF(G84="NOT FOUND","",INDEX(Components!$C$2:$C$500,MATCH(F84,Components!$I$2:$I$500,0)))</f>
        <v>EA</v>
      </c>
      <c r="I84" s="26">
        <f t="shared" si="17"/>
        <v>1</v>
      </c>
      <c r="J84" s="27">
        <f t="shared" si="18"/>
        <v>2</v>
      </c>
      <c r="K84" s="24">
        <f>IF(G84="NOT FOUND","",INDEX(Components!$J$2:$J$500,MATCH(F84,Components!$I$2:$I$500,0)))</f>
        <v>6.8999999999999995</v>
      </c>
      <c r="L84" s="24">
        <f t="shared" si="19"/>
        <v>13.799999999999999</v>
      </c>
      <c r="M84" s="15" t="str">
        <f>IF(G84="NOT FOUND","",IF(INDEX(Components!$G$2:$G$500,MATCH(F84,Components!$I$2:$I$500,0))="","UNKNOWN",INDEX(Components!$G$2:$G$500,MATCH(F84,Components!$I$2:$I$500,0))))</f>
        <v>DE</v>
      </c>
      <c r="N84" s="15" t="str">
        <f t="shared" si="20"/>
        <v>Imported</v>
      </c>
      <c r="O84" s="15" t="str">
        <f>IF(G84="NOT FOUND","",INDEX(Components!$F$2:$F$500,MATCH(F84,Components!$I$2:$I$500,0)))</f>
        <v>SUP-10</v>
      </c>
      <c r="P84" s="28">
        <f>SUMIFS(Sales!$G$2:$G$500,Sales!$I$2:$I$500,A84)</f>
        <v>646</v>
      </c>
      <c r="Q84" s="29">
        <f t="shared" si="21"/>
        <v>8914.7999999999993</v>
      </c>
      <c r="R84" s="15" t="str">
        <f t="shared" si="22"/>
        <v/>
      </c>
      <c r="S84" s="15" t="str">
        <f t="shared" si="23"/>
        <v>OK</v>
      </c>
    </row>
    <row r="85" spans="1:19" x14ac:dyDescent="0.3">
      <c r="A85" s="12" t="s">
        <v>125</v>
      </c>
      <c r="B85" s="12">
        <v>90</v>
      </c>
      <c r="C85" s="12" t="s">
        <v>227</v>
      </c>
      <c r="D85" s="25">
        <v>0.6</v>
      </c>
      <c r="E85" s="12" t="s">
        <v>190</v>
      </c>
      <c r="F85" s="15" t="str">
        <f t="shared" si="16"/>
        <v>FRM-OIL</v>
      </c>
      <c r="G85" s="15" t="str">
        <f>IFERROR(INDEX(Components!$B$2:$B$500,MATCH(F85,Components!$I$2:$I$500,0)),"NOT FOUND")</f>
        <v>Form release agent</v>
      </c>
      <c r="H85" s="15" t="str">
        <f>IF(G85="NOT FOUND","",INDEX(Components!$C$2:$C$500,MATCH(F85,Components!$I$2:$I$500,0)))</f>
        <v>L</v>
      </c>
      <c r="I85" s="26">
        <f t="shared" si="17"/>
        <v>1</v>
      </c>
      <c r="J85" s="27">
        <f t="shared" si="18"/>
        <v>0.6</v>
      </c>
      <c r="K85" s="24">
        <f>IF(G85="NOT FOUND","",INDEX(Components!$J$2:$J$500,MATCH(F85,Components!$I$2:$I$500,0)))</f>
        <v>1.1499999999999999</v>
      </c>
      <c r="L85" s="24">
        <f t="shared" si="19"/>
        <v>0.69</v>
      </c>
      <c r="M85" s="15" t="str">
        <f>IF(G85="NOT FOUND","",IF(INDEX(Components!$G$2:$G$500,MATCH(F85,Components!$I$2:$I$500,0))="","UNKNOWN",INDEX(Components!$G$2:$G$500,MATCH(F85,Components!$I$2:$I$500,0))))</f>
        <v>CA</v>
      </c>
      <c r="N85" s="15" t="str">
        <f t="shared" si="20"/>
        <v>Domestic</v>
      </c>
      <c r="O85" s="15" t="str">
        <f>IF(G85="NOT FOUND","",INDEX(Components!$F$2:$F$500,MATCH(F85,Components!$I$2:$I$500,0)))</f>
        <v>SUP-12</v>
      </c>
      <c r="P85" s="28">
        <f>SUMIFS(Sales!$G$2:$G$500,Sales!$I$2:$I$500,A85)</f>
        <v>646</v>
      </c>
      <c r="Q85" s="29">
        <f t="shared" si="21"/>
        <v>445.73999999999995</v>
      </c>
      <c r="R85" s="15" t="str">
        <f t="shared" si="22"/>
        <v/>
      </c>
      <c r="S85" s="15" t="str">
        <f t="shared" si="23"/>
        <v>OK</v>
      </c>
    </row>
    <row r="86" spans="1:19" x14ac:dyDescent="0.3">
      <c r="A86" s="12" t="s">
        <v>129</v>
      </c>
      <c r="B86" s="12">
        <v>10</v>
      </c>
      <c r="C86" s="12" t="s">
        <v>176</v>
      </c>
      <c r="D86" s="25">
        <v>0.91</v>
      </c>
      <c r="E86" s="12" t="s">
        <v>66</v>
      </c>
      <c r="F86" s="15" t="str">
        <f t="shared" si="16"/>
        <v>CMT-GU</v>
      </c>
      <c r="G86" s="15" t="str">
        <f>IFERROR(INDEX(Components!$B$2:$B$500,MATCH(F86,Components!$I$2:$I$500,0)),"NOT FOUND")</f>
        <v>Portland cement Type GU</v>
      </c>
      <c r="H86" s="15" t="str">
        <f>IF(G86="NOT FOUND","",INDEX(Components!$C$2:$C$500,MATCH(F86,Components!$I$2:$I$500,0)))</f>
        <v>T</v>
      </c>
      <c r="I86" s="26">
        <f t="shared" si="17"/>
        <v>1</v>
      </c>
      <c r="J86" s="27">
        <f t="shared" si="18"/>
        <v>0.91</v>
      </c>
      <c r="K86" s="24">
        <f>IF(G86="NOT FOUND","",INDEX(Components!$J$2:$J$500,MATCH(F86,Components!$I$2:$I$500,0)))</f>
        <v>235</v>
      </c>
      <c r="L86" s="24">
        <f t="shared" si="19"/>
        <v>213.85</v>
      </c>
      <c r="M86" s="15" t="str">
        <f>IF(G86="NOT FOUND","",IF(INDEX(Components!$G$2:$G$500,MATCH(F86,Components!$I$2:$I$500,0))="","UNKNOWN",INDEX(Components!$G$2:$G$500,MATCH(F86,Components!$I$2:$I$500,0))))</f>
        <v>CA</v>
      </c>
      <c r="N86" s="15" t="str">
        <f t="shared" si="20"/>
        <v>Domestic</v>
      </c>
      <c r="O86" s="15" t="str">
        <f>IF(G86="NOT FOUND","",INDEX(Components!$F$2:$F$500,MATCH(F86,Components!$I$2:$I$500,0)))</f>
        <v>SUP-01</v>
      </c>
      <c r="P86" s="28">
        <f>SUMIFS(Sales!$G$2:$G$500,Sales!$I$2:$I$500,A86)</f>
        <v>696</v>
      </c>
      <c r="Q86" s="29">
        <f t="shared" si="21"/>
        <v>148839.6</v>
      </c>
      <c r="R86" s="15" t="str">
        <f t="shared" si="22"/>
        <v/>
      </c>
      <c r="S86" s="15" t="str">
        <f t="shared" si="23"/>
        <v>OK</v>
      </c>
    </row>
    <row r="87" spans="1:19" x14ac:dyDescent="0.3">
      <c r="A87" s="12" t="s">
        <v>129</v>
      </c>
      <c r="B87" s="12">
        <v>20</v>
      </c>
      <c r="C87" s="12" t="s">
        <v>179</v>
      </c>
      <c r="D87" s="25">
        <v>0.182</v>
      </c>
      <c r="E87" s="12" t="s">
        <v>66</v>
      </c>
      <c r="F87" s="15" t="str">
        <f t="shared" si="16"/>
        <v>SCM-FA</v>
      </c>
      <c r="G87" s="15" t="str">
        <f>IFERROR(INDEX(Components!$B$2:$B$500,MATCH(F87,Components!$I$2:$I$500,0)),"NOT FOUND")</f>
        <v>Fly ash Class F</v>
      </c>
      <c r="H87" s="15" t="str">
        <f>IF(G87="NOT FOUND","",INDEX(Components!$C$2:$C$500,MATCH(F87,Components!$I$2:$I$500,0)))</f>
        <v>T</v>
      </c>
      <c r="I87" s="26">
        <f t="shared" si="17"/>
        <v>1</v>
      </c>
      <c r="J87" s="27">
        <f t="shared" si="18"/>
        <v>0.182</v>
      </c>
      <c r="K87" s="24">
        <f>IF(G87="NOT FOUND","",INDEX(Components!$J$2:$J$500,MATCH(F87,Components!$I$2:$I$500,0)))</f>
        <v>98.640000000000015</v>
      </c>
      <c r="L87" s="24">
        <f t="shared" si="19"/>
        <v>17.952480000000001</v>
      </c>
      <c r="M87" s="15" t="str">
        <f>IF(G87="NOT FOUND","",IF(INDEX(Components!$G$2:$G$500,MATCH(F87,Components!$I$2:$I$500,0))="","UNKNOWN",INDEX(Components!$G$2:$G$500,MATCH(F87,Components!$I$2:$I$500,0))))</f>
        <v>US</v>
      </c>
      <c r="N87" s="15" t="str">
        <f t="shared" si="20"/>
        <v>Imported</v>
      </c>
      <c r="O87" s="15" t="str">
        <f>IF(G87="NOT FOUND","",INDEX(Components!$F$2:$F$500,MATCH(F87,Components!$I$2:$I$500,0)))</f>
        <v>SUP-02</v>
      </c>
      <c r="P87" s="28">
        <f>SUMIFS(Sales!$G$2:$G$500,Sales!$I$2:$I$500,A87)</f>
        <v>696</v>
      </c>
      <c r="Q87" s="29">
        <f t="shared" si="21"/>
        <v>12494.926080000001</v>
      </c>
      <c r="R87" s="15" t="str">
        <f t="shared" si="22"/>
        <v/>
      </c>
      <c r="S87" s="15" t="str">
        <f t="shared" si="23"/>
        <v>OK</v>
      </c>
    </row>
    <row r="88" spans="1:19" x14ac:dyDescent="0.3">
      <c r="A88" s="12" t="s">
        <v>129</v>
      </c>
      <c r="B88" s="12">
        <v>30</v>
      </c>
      <c r="C88" s="12" t="s">
        <v>182</v>
      </c>
      <c r="D88" s="25">
        <v>2.73</v>
      </c>
      <c r="E88" s="12" t="s">
        <v>66</v>
      </c>
      <c r="F88" s="15" t="str">
        <f t="shared" si="16"/>
        <v>AGG-20</v>
      </c>
      <c r="G88" s="15" t="str">
        <f>IFERROR(INDEX(Components!$B$2:$B$500,MATCH(F88,Components!$I$2:$I$500,0)),"NOT FOUND")</f>
        <v>Coarse aggregate 20 mm</v>
      </c>
      <c r="H88" s="15" t="str">
        <f>IF(G88="NOT FOUND","",INDEX(Components!$C$2:$C$500,MATCH(F88,Components!$I$2:$I$500,0)))</f>
        <v>T</v>
      </c>
      <c r="I88" s="26">
        <f t="shared" si="17"/>
        <v>1</v>
      </c>
      <c r="J88" s="27">
        <f t="shared" si="18"/>
        <v>2.73</v>
      </c>
      <c r="K88" s="24">
        <f>IF(G88="NOT FOUND","",INDEX(Components!$J$2:$J$500,MATCH(F88,Components!$I$2:$I$500,0)))</f>
        <v>28</v>
      </c>
      <c r="L88" s="24">
        <f t="shared" si="19"/>
        <v>76.44</v>
      </c>
      <c r="M88" s="15" t="str">
        <f>IF(G88="NOT FOUND","",IF(INDEX(Components!$G$2:$G$500,MATCH(F88,Components!$I$2:$I$500,0))="","UNKNOWN",INDEX(Components!$G$2:$G$500,MATCH(F88,Components!$I$2:$I$500,0))))</f>
        <v>CA</v>
      </c>
      <c r="N88" s="15" t="str">
        <f t="shared" si="20"/>
        <v>Domestic</v>
      </c>
      <c r="O88" s="15" t="str">
        <f>IF(G88="NOT FOUND","",INDEX(Components!$F$2:$F$500,MATCH(F88,Components!$I$2:$I$500,0)))</f>
        <v>SUP-03</v>
      </c>
      <c r="P88" s="28">
        <f>SUMIFS(Sales!$G$2:$G$500,Sales!$I$2:$I$500,A88)</f>
        <v>696</v>
      </c>
      <c r="Q88" s="29">
        <f t="shared" si="21"/>
        <v>53202.239999999998</v>
      </c>
      <c r="R88" s="15" t="str">
        <f t="shared" si="22"/>
        <v/>
      </c>
      <c r="S88" s="15" t="str">
        <f t="shared" si="23"/>
        <v>OK</v>
      </c>
    </row>
    <row r="89" spans="1:19" x14ac:dyDescent="0.3">
      <c r="A89" s="12" t="s">
        <v>129</v>
      </c>
      <c r="B89" s="12">
        <v>40</v>
      </c>
      <c r="C89" s="12" t="s">
        <v>185</v>
      </c>
      <c r="D89" s="25">
        <v>1.95</v>
      </c>
      <c r="E89" s="12" t="s">
        <v>66</v>
      </c>
      <c r="F89" s="15" t="str">
        <f t="shared" si="16"/>
        <v>AGG-SND</v>
      </c>
      <c r="G89" s="15" t="str">
        <f>IFERROR(INDEX(Components!$B$2:$B$500,MATCH(F89,Components!$I$2:$I$500,0)),"NOT FOUND")</f>
        <v>Concrete sand</v>
      </c>
      <c r="H89" s="15" t="str">
        <f>IF(G89="NOT FOUND","",INDEX(Components!$C$2:$C$500,MATCH(F89,Components!$I$2:$I$500,0)))</f>
        <v>T</v>
      </c>
      <c r="I89" s="26">
        <f t="shared" si="17"/>
        <v>1</v>
      </c>
      <c r="J89" s="27">
        <f t="shared" si="18"/>
        <v>1.95</v>
      </c>
      <c r="K89" s="24">
        <f>IF(G89="NOT FOUND","",INDEX(Components!$J$2:$J$500,MATCH(F89,Components!$I$2:$I$500,0)))</f>
        <v>24</v>
      </c>
      <c r="L89" s="24">
        <f t="shared" si="19"/>
        <v>46.8</v>
      </c>
      <c r="M89" s="15" t="str">
        <f>IF(G89="NOT FOUND","",IF(INDEX(Components!$G$2:$G$500,MATCH(F89,Components!$I$2:$I$500,0))="","UNKNOWN",INDEX(Components!$G$2:$G$500,MATCH(F89,Components!$I$2:$I$500,0))))</f>
        <v>CA</v>
      </c>
      <c r="N89" s="15" t="str">
        <f t="shared" si="20"/>
        <v>Domestic</v>
      </c>
      <c r="O89" s="15" t="str">
        <f>IF(G89="NOT FOUND","",INDEX(Components!$F$2:$F$500,MATCH(F89,Components!$I$2:$I$500,0)))</f>
        <v>SUP-03</v>
      </c>
      <c r="P89" s="28">
        <f>SUMIFS(Sales!$G$2:$G$500,Sales!$I$2:$I$500,A89)</f>
        <v>696</v>
      </c>
      <c r="Q89" s="29">
        <f t="shared" si="21"/>
        <v>32572.799999999999</v>
      </c>
      <c r="R89" s="15" t="str">
        <f t="shared" si="22"/>
        <v/>
      </c>
      <c r="S89" s="15" t="str">
        <f t="shared" si="23"/>
        <v>OK</v>
      </c>
    </row>
    <row r="90" spans="1:19" x14ac:dyDescent="0.3">
      <c r="A90" s="12" t="s">
        <v>129</v>
      </c>
      <c r="B90" s="12">
        <v>50</v>
      </c>
      <c r="C90" s="12" t="s">
        <v>188</v>
      </c>
      <c r="D90" s="25">
        <v>5.2</v>
      </c>
      <c r="E90" s="12" t="s">
        <v>190</v>
      </c>
      <c r="F90" s="15" t="str">
        <f t="shared" si="16"/>
        <v>ADM-SP</v>
      </c>
      <c r="G90" s="15" t="str">
        <f>IFERROR(INDEX(Components!$B$2:$B$500,MATCH(F90,Components!$I$2:$I$500,0)),"NOT FOUND")</f>
        <v>Superplasticizer admixture</v>
      </c>
      <c r="H90" s="15" t="str">
        <f>IF(G90="NOT FOUND","",INDEX(Components!$C$2:$C$500,MATCH(F90,Components!$I$2:$I$500,0)))</f>
        <v>L</v>
      </c>
      <c r="I90" s="26">
        <f t="shared" si="17"/>
        <v>1</v>
      </c>
      <c r="J90" s="27">
        <f t="shared" si="18"/>
        <v>5.2</v>
      </c>
      <c r="K90" s="24">
        <f>IF(G90="NOT FOUND","",INDEX(Components!$J$2:$J$500,MATCH(F90,Components!$I$2:$I$500,0)))</f>
        <v>4.2470000000000008</v>
      </c>
      <c r="L90" s="24">
        <f t="shared" si="19"/>
        <v>22.084400000000006</v>
      </c>
      <c r="M90" s="15" t="str">
        <f>IF(G90="NOT FOUND","",IF(INDEX(Components!$G$2:$G$500,MATCH(F90,Components!$I$2:$I$500,0))="","UNKNOWN",INDEX(Components!$G$2:$G$500,MATCH(F90,Components!$I$2:$I$500,0))))</f>
        <v>US</v>
      </c>
      <c r="N90" s="15" t="str">
        <f t="shared" si="20"/>
        <v>Imported</v>
      </c>
      <c r="O90" s="15" t="str">
        <f>IF(G90="NOT FOUND","",INDEX(Components!$F$2:$F$500,MATCH(F90,Components!$I$2:$I$500,0)))</f>
        <v>SUP-04</v>
      </c>
      <c r="P90" s="28">
        <f>SUMIFS(Sales!$G$2:$G$500,Sales!$I$2:$I$500,A90)</f>
        <v>696</v>
      </c>
      <c r="Q90" s="29">
        <f t="shared" si="21"/>
        <v>15370.742400000005</v>
      </c>
      <c r="R90" s="15" t="str">
        <f t="shared" si="22"/>
        <v/>
      </c>
      <c r="S90" s="15" t="str">
        <f t="shared" si="23"/>
        <v>OK</v>
      </c>
    </row>
    <row r="91" spans="1:19" x14ac:dyDescent="0.3">
      <c r="A91" s="12" t="s">
        <v>129</v>
      </c>
      <c r="B91" s="12">
        <v>60</v>
      </c>
      <c r="C91" s="12" t="s">
        <v>192</v>
      </c>
      <c r="D91" s="25">
        <v>1.04</v>
      </c>
      <c r="E91" s="12" t="s">
        <v>190</v>
      </c>
      <c r="F91" s="15" t="str">
        <f t="shared" si="16"/>
        <v>ADM-AE</v>
      </c>
      <c r="G91" s="15" t="str">
        <f>IFERROR(INDEX(Components!$B$2:$B$500,MATCH(F91,Components!$I$2:$I$500,0)),"NOT FOUND")</f>
        <v>Air-entraining admixture</v>
      </c>
      <c r="H91" s="15" t="str">
        <f>IF(G91="NOT FOUND","",INDEX(Components!$C$2:$C$500,MATCH(F91,Components!$I$2:$I$500,0)))</f>
        <v>L</v>
      </c>
      <c r="I91" s="26">
        <f t="shared" si="17"/>
        <v>1</v>
      </c>
      <c r="J91" s="27">
        <f t="shared" si="18"/>
        <v>1.04</v>
      </c>
      <c r="K91" s="24">
        <f>IF(G91="NOT FOUND","",INDEX(Components!$J$2:$J$500,MATCH(F91,Components!$I$2:$I$500,0)))</f>
        <v>3.2880000000000003</v>
      </c>
      <c r="L91" s="24">
        <f t="shared" si="19"/>
        <v>3.4195200000000003</v>
      </c>
      <c r="M91" s="15" t="str">
        <f>IF(G91="NOT FOUND","",IF(INDEX(Components!$G$2:$G$500,MATCH(F91,Components!$I$2:$I$500,0))="","UNKNOWN",INDEX(Components!$G$2:$G$500,MATCH(F91,Components!$I$2:$I$500,0))))</f>
        <v>US</v>
      </c>
      <c r="N91" s="15" t="str">
        <f t="shared" si="20"/>
        <v>Imported</v>
      </c>
      <c r="O91" s="15" t="str">
        <f>IF(G91="NOT FOUND","",INDEX(Components!$F$2:$F$500,MATCH(F91,Components!$I$2:$I$500,0)))</f>
        <v>SUP-04</v>
      </c>
      <c r="P91" s="28">
        <f>SUMIFS(Sales!$G$2:$G$500,Sales!$I$2:$I$500,A91)</f>
        <v>696</v>
      </c>
      <c r="Q91" s="29">
        <f t="shared" si="21"/>
        <v>2379.9859200000001</v>
      </c>
      <c r="R91" s="15" t="str">
        <f t="shared" si="22"/>
        <v/>
      </c>
      <c r="S91" s="15" t="str">
        <f t="shared" si="23"/>
        <v>OK</v>
      </c>
    </row>
    <row r="92" spans="1:19" x14ac:dyDescent="0.3">
      <c r="A92" s="12" t="s">
        <v>129</v>
      </c>
      <c r="B92" s="12">
        <v>70</v>
      </c>
      <c r="C92" s="12" t="s">
        <v>198</v>
      </c>
      <c r="D92" s="25">
        <v>120</v>
      </c>
      <c r="E92" s="12" t="s">
        <v>62</v>
      </c>
      <c r="F92" s="15" t="str">
        <f t="shared" si="16"/>
        <v>RB-15M</v>
      </c>
      <c r="G92" s="15" t="str">
        <f>IFERROR(INDEX(Components!$B$2:$B$500,MATCH(F92,Components!$I$2:$I$500,0)),"NOT FOUND")</f>
        <v>Rebar 15M</v>
      </c>
      <c r="H92" s="15" t="str">
        <f>IF(G92="NOT FOUND","",INDEX(Components!$C$2:$C$500,MATCH(F92,Components!$I$2:$I$500,0)))</f>
        <v>KG</v>
      </c>
      <c r="I92" s="26">
        <f t="shared" si="17"/>
        <v>1</v>
      </c>
      <c r="J92" s="27">
        <f t="shared" si="18"/>
        <v>120</v>
      </c>
      <c r="K92" s="24">
        <f>IF(G92="NOT FOUND","",INDEX(Components!$J$2:$J$500,MATCH(F92,Components!$I$2:$I$500,0)))</f>
        <v>1.31</v>
      </c>
      <c r="L92" s="24">
        <f t="shared" si="19"/>
        <v>157.20000000000002</v>
      </c>
      <c r="M92" s="15" t="str">
        <f>IF(G92="NOT FOUND","",IF(INDEX(Components!$G$2:$G$500,MATCH(F92,Components!$I$2:$I$500,0))="","UNKNOWN",INDEX(Components!$G$2:$G$500,MATCH(F92,Components!$I$2:$I$500,0))))</f>
        <v>CA</v>
      </c>
      <c r="N92" s="15" t="str">
        <f t="shared" si="20"/>
        <v>Domestic</v>
      </c>
      <c r="O92" s="15" t="str">
        <f>IF(G92="NOT FOUND","",INDEX(Components!$F$2:$F$500,MATCH(F92,Components!$I$2:$I$500,0)))</f>
        <v>SUP-05</v>
      </c>
      <c r="P92" s="28">
        <f>SUMIFS(Sales!$G$2:$G$500,Sales!$I$2:$I$500,A92)</f>
        <v>696</v>
      </c>
      <c r="Q92" s="29">
        <f t="shared" si="21"/>
        <v>109411.20000000001</v>
      </c>
      <c r="R92" s="15" t="str">
        <f t="shared" si="22"/>
        <v/>
      </c>
      <c r="S92" s="15" t="str">
        <f t="shared" si="23"/>
        <v>OK</v>
      </c>
    </row>
    <row r="93" spans="1:19" x14ac:dyDescent="0.3">
      <c r="A93" s="12" t="s">
        <v>129</v>
      </c>
      <c r="B93" s="12">
        <v>80</v>
      </c>
      <c r="C93" s="12" t="s">
        <v>200</v>
      </c>
      <c r="D93" s="25">
        <v>40</v>
      </c>
      <c r="E93" s="12" t="s">
        <v>62</v>
      </c>
      <c r="F93" s="15" t="str">
        <f t="shared" si="16"/>
        <v>RB-20M</v>
      </c>
      <c r="G93" s="15" t="str">
        <f>IFERROR(INDEX(Components!$B$2:$B$500,MATCH(F93,Components!$I$2:$I$500,0)),"NOT FOUND")</f>
        <v>Rebar 20M</v>
      </c>
      <c r="H93" s="15" t="str">
        <f>IF(G93="NOT FOUND","",INDEX(Components!$C$2:$C$500,MATCH(F93,Components!$I$2:$I$500,0)))</f>
        <v>KG</v>
      </c>
      <c r="I93" s="26">
        <f t="shared" si="17"/>
        <v>1</v>
      </c>
      <c r="J93" s="27">
        <f t="shared" si="18"/>
        <v>40</v>
      </c>
      <c r="K93" s="24">
        <f>IF(G93="NOT FOUND","",INDEX(Components!$J$2:$J$500,MATCH(F93,Components!$I$2:$I$500,0)))</f>
        <v>1.2741000000000002</v>
      </c>
      <c r="L93" s="24">
        <f t="shared" si="19"/>
        <v>50.964000000000013</v>
      </c>
      <c r="M93" s="15" t="str">
        <f>IF(G93="NOT FOUND","",IF(INDEX(Components!$G$2:$G$500,MATCH(F93,Components!$I$2:$I$500,0))="","UNKNOWN",INDEX(Components!$G$2:$G$500,MATCH(F93,Components!$I$2:$I$500,0))))</f>
        <v>TR</v>
      </c>
      <c r="N93" s="15" t="str">
        <f t="shared" si="20"/>
        <v>Imported</v>
      </c>
      <c r="O93" s="15" t="str">
        <f>IF(G93="NOT FOUND","",INDEX(Components!$F$2:$F$500,MATCH(F93,Components!$I$2:$I$500,0)))</f>
        <v>SUP-06</v>
      </c>
      <c r="P93" s="28">
        <f>SUMIFS(Sales!$G$2:$G$500,Sales!$I$2:$I$500,A93)</f>
        <v>696</v>
      </c>
      <c r="Q93" s="29">
        <f t="shared" si="21"/>
        <v>35470.94400000001</v>
      </c>
      <c r="R93" s="15" t="str">
        <f t="shared" si="22"/>
        <v/>
      </c>
      <c r="S93" s="15" t="str">
        <f t="shared" si="23"/>
        <v>OK</v>
      </c>
    </row>
    <row r="94" spans="1:19" x14ac:dyDescent="0.3">
      <c r="A94" s="12" t="s">
        <v>129</v>
      </c>
      <c r="B94" s="12">
        <v>90</v>
      </c>
      <c r="C94" s="12" t="s">
        <v>215</v>
      </c>
      <c r="D94" s="25">
        <v>2</v>
      </c>
      <c r="E94" s="12" t="s">
        <v>106</v>
      </c>
      <c r="F94" s="15" t="str">
        <f t="shared" si="16"/>
        <v>LFT-ANC</v>
      </c>
      <c r="G94" s="15" t="str">
        <f>IFERROR(INDEX(Components!$B$2:$B$500,MATCH(F94,Components!$I$2:$I$500,0)),"NOT FOUND")</f>
        <v>Lifting anchor 2.5 t</v>
      </c>
      <c r="H94" s="15" t="str">
        <f>IF(G94="NOT FOUND","",INDEX(Components!$C$2:$C$500,MATCH(F94,Components!$I$2:$I$500,0)))</f>
        <v>EA</v>
      </c>
      <c r="I94" s="26">
        <f t="shared" si="17"/>
        <v>1</v>
      </c>
      <c r="J94" s="27">
        <f t="shared" si="18"/>
        <v>2</v>
      </c>
      <c r="K94" s="24">
        <f>IF(G94="NOT FOUND","",INDEX(Components!$J$2:$J$500,MATCH(F94,Components!$I$2:$I$500,0)))</f>
        <v>6.8999999999999995</v>
      </c>
      <c r="L94" s="24">
        <f t="shared" si="19"/>
        <v>13.799999999999999</v>
      </c>
      <c r="M94" s="15" t="str">
        <f>IF(G94="NOT FOUND","",IF(INDEX(Components!$G$2:$G$500,MATCH(F94,Components!$I$2:$I$500,0))="","UNKNOWN",INDEX(Components!$G$2:$G$500,MATCH(F94,Components!$I$2:$I$500,0))))</f>
        <v>DE</v>
      </c>
      <c r="N94" s="15" t="str">
        <f t="shared" si="20"/>
        <v>Imported</v>
      </c>
      <c r="O94" s="15" t="str">
        <f>IF(G94="NOT FOUND","",INDEX(Components!$F$2:$F$500,MATCH(F94,Components!$I$2:$I$500,0)))</f>
        <v>SUP-10</v>
      </c>
      <c r="P94" s="28">
        <f>SUMIFS(Sales!$G$2:$G$500,Sales!$I$2:$I$500,A94)</f>
        <v>696</v>
      </c>
      <c r="Q94" s="29">
        <f t="shared" si="21"/>
        <v>9604.7999999999993</v>
      </c>
      <c r="R94" s="15" t="str">
        <f t="shared" si="22"/>
        <v/>
      </c>
      <c r="S94" s="15" t="str">
        <f t="shared" si="23"/>
        <v>OK</v>
      </c>
    </row>
    <row r="95" spans="1:19" x14ac:dyDescent="0.3">
      <c r="A95" s="12" t="s">
        <v>129</v>
      </c>
      <c r="B95" s="12">
        <v>100</v>
      </c>
      <c r="C95" s="12" t="s">
        <v>223</v>
      </c>
      <c r="D95" s="25">
        <v>2</v>
      </c>
      <c r="E95" s="12" t="s">
        <v>225</v>
      </c>
      <c r="F95" s="15" t="str">
        <f t="shared" si="16"/>
        <v>SEAL-BUT</v>
      </c>
      <c r="G95" s="15" t="str">
        <f>IFERROR(INDEX(Components!$B$2:$B$500,MATCH(F95,Components!$I$2:$I$500,0)),"NOT FOUND")</f>
        <v>Butyl joint sealant</v>
      </c>
      <c r="H95" s="15" t="str">
        <f>IF(G95="NOT FOUND","",INDEX(Components!$C$2:$C$500,MATCH(F95,Components!$I$2:$I$500,0)))</f>
        <v>M</v>
      </c>
      <c r="I95" s="26">
        <f t="shared" si="17"/>
        <v>1</v>
      </c>
      <c r="J95" s="27">
        <f t="shared" si="18"/>
        <v>2</v>
      </c>
      <c r="K95" s="24" t="str">
        <f>IF(G95="NOT FOUND","",INDEX(Components!$J$2:$J$500,MATCH(F95,Components!$I$2:$I$500,0)))</f>
        <v/>
      </c>
      <c r="L95" s="24" t="str">
        <f t="shared" si="19"/>
        <v/>
      </c>
      <c r="M95" s="15" t="str">
        <f>IF(G95="NOT FOUND","",IF(INDEX(Components!$G$2:$G$500,MATCH(F95,Components!$I$2:$I$500,0))="","UNKNOWN",INDEX(Components!$G$2:$G$500,MATCH(F95,Components!$I$2:$I$500,0))))</f>
        <v>CA</v>
      </c>
      <c r="N95" s="15" t="str">
        <f t="shared" si="20"/>
        <v>Domestic</v>
      </c>
      <c r="O95" s="15" t="str">
        <f>IF(G95="NOT FOUND","",INDEX(Components!$F$2:$F$500,MATCH(F95,Components!$I$2:$I$500,0)))</f>
        <v>SUP-12</v>
      </c>
      <c r="P95" s="28">
        <f>SUMIFS(Sales!$G$2:$G$500,Sales!$I$2:$I$500,A95)</f>
        <v>696</v>
      </c>
      <c r="Q95" s="29" t="str">
        <f t="shared" si="21"/>
        <v/>
      </c>
      <c r="R95" s="15" t="str">
        <f t="shared" si="22"/>
        <v xml:space="preserve">Missing cost; </v>
      </c>
      <c r="S95" s="15" t="str">
        <f t="shared" si="23"/>
        <v>CHECK</v>
      </c>
    </row>
    <row r="96" spans="1:19" x14ac:dyDescent="0.3">
      <c r="A96" s="12" t="s">
        <v>129</v>
      </c>
      <c r="B96" s="12">
        <v>110</v>
      </c>
      <c r="C96" s="12" t="s">
        <v>227</v>
      </c>
      <c r="D96" s="25">
        <v>0.9</v>
      </c>
      <c r="E96" s="12" t="s">
        <v>190</v>
      </c>
      <c r="F96" s="15" t="str">
        <f t="shared" si="16"/>
        <v>FRM-OIL</v>
      </c>
      <c r="G96" s="15" t="str">
        <f>IFERROR(INDEX(Components!$B$2:$B$500,MATCH(F96,Components!$I$2:$I$500,0)),"NOT FOUND")</f>
        <v>Form release agent</v>
      </c>
      <c r="H96" s="15" t="str">
        <f>IF(G96="NOT FOUND","",INDEX(Components!$C$2:$C$500,MATCH(F96,Components!$I$2:$I$500,0)))</f>
        <v>L</v>
      </c>
      <c r="I96" s="26">
        <f t="shared" si="17"/>
        <v>1</v>
      </c>
      <c r="J96" s="27">
        <f t="shared" si="18"/>
        <v>0.9</v>
      </c>
      <c r="K96" s="24">
        <f>IF(G96="NOT FOUND","",INDEX(Components!$J$2:$J$500,MATCH(F96,Components!$I$2:$I$500,0)))</f>
        <v>1.1499999999999999</v>
      </c>
      <c r="L96" s="24">
        <f t="shared" si="19"/>
        <v>1.0349999999999999</v>
      </c>
      <c r="M96" s="15" t="str">
        <f>IF(G96="NOT FOUND","",IF(INDEX(Components!$G$2:$G$500,MATCH(F96,Components!$I$2:$I$500,0))="","UNKNOWN",INDEX(Components!$G$2:$G$500,MATCH(F96,Components!$I$2:$I$500,0))))</f>
        <v>CA</v>
      </c>
      <c r="N96" s="15" t="str">
        <f t="shared" si="20"/>
        <v>Domestic</v>
      </c>
      <c r="O96" s="15" t="str">
        <f>IF(G96="NOT FOUND","",INDEX(Components!$F$2:$F$500,MATCH(F96,Components!$I$2:$I$500,0)))</f>
        <v>SUP-12</v>
      </c>
      <c r="P96" s="28">
        <f>SUMIFS(Sales!$G$2:$G$500,Sales!$I$2:$I$500,A96)</f>
        <v>696</v>
      </c>
      <c r="Q96" s="29">
        <f t="shared" si="21"/>
        <v>720.3599999999999</v>
      </c>
      <c r="R96" s="15" t="str">
        <f t="shared" si="22"/>
        <v/>
      </c>
      <c r="S96" s="15" t="str">
        <f t="shared" si="23"/>
        <v>OK</v>
      </c>
    </row>
    <row r="97" spans="1:19" x14ac:dyDescent="0.3">
      <c r="A97" s="12" t="s">
        <v>131</v>
      </c>
      <c r="B97" s="12">
        <v>10</v>
      </c>
      <c r="C97" s="12" t="s">
        <v>176</v>
      </c>
      <c r="D97" s="25">
        <v>4.5499999999999999E-2</v>
      </c>
      <c r="E97" s="12" t="s">
        <v>66</v>
      </c>
      <c r="F97" s="15" t="str">
        <f t="shared" si="16"/>
        <v>CMT-GU</v>
      </c>
      <c r="G97" s="15" t="str">
        <f>IFERROR(INDEX(Components!$B$2:$B$500,MATCH(F97,Components!$I$2:$I$500,0)),"NOT FOUND")</f>
        <v>Portland cement Type GU</v>
      </c>
      <c r="H97" s="15" t="str">
        <f>IF(G97="NOT FOUND","",INDEX(Components!$C$2:$C$500,MATCH(F97,Components!$I$2:$I$500,0)))</f>
        <v>T</v>
      </c>
      <c r="I97" s="26">
        <f t="shared" si="17"/>
        <v>1</v>
      </c>
      <c r="J97" s="27">
        <f t="shared" si="18"/>
        <v>4.5499999999999999E-2</v>
      </c>
      <c r="K97" s="24">
        <f>IF(G97="NOT FOUND","",INDEX(Components!$J$2:$J$500,MATCH(F97,Components!$I$2:$I$500,0)))</f>
        <v>235</v>
      </c>
      <c r="L97" s="24">
        <f t="shared" si="19"/>
        <v>10.692499999999999</v>
      </c>
      <c r="M97" s="15" t="str">
        <f>IF(G97="NOT FOUND","",IF(INDEX(Components!$G$2:$G$500,MATCH(F97,Components!$I$2:$I$500,0))="","UNKNOWN",INDEX(Components!$G$2:$G$500,MATCH(F97,Components!$I$2:$I$500,0))))</f>
        <v>CA</v>
      </c>
      <c r="N97" s="15" t="str">
        <f t="shared" si="20"/>
        <v>Domestic</v>
      </c>
      <c r="O97" s="15" t="str">
        <f>IF(G97="NOT FOUND","",INDEX(Components!$F$2:$F$500,MATCH(F97,Components!$I$2:$I$500,0)))</f>
        <v>SUP-01</v>
      </c>
      <c r="P97" s="28">
        <f>SUMIFS(Sales!$G$2:$G$500,Sales!$I$2:$I$500,A97)</f>
        <v>5458</v>
      </c>
      <c r="Q97" s="29">
        <f t="shared" si="21"/>
        <v>58359.664999999994</v>
      </c>
      <c r="R97" s="15" t="str">
        <f t="shared" si="22"/>
        <v/>
      </c>
      <c r="S97" s="15" t="str">
        <f t="shared" si="23"/>
        <v>OK</v>
      </c>
    </row>
    <row r="98" spans="1:19" x14ac:dyDescent="0.3">
      <c r="A98" s="12" t="s">
        <v>131</v>
      </c>
      <c r="B98" s="12">
        <v>20</v>
      </c>
      <c r="C98" s="12" t="s">
        <v>179</v>
      </c>
      <c r="D98" s="25">
        <v>9.1000000000000004E-3</v>
      </c>
      <c r="E98" s="12" t="s">
        <v>66</v>
      </c>
      <c r="F98" s="15" t="str">
        <f t="shared" ref="F98:F112" si="24">UPPER(TRIM(C98))</f>
        <v>SCM-FA</v>
      </c>
      <c r="G98" s="15" t="str">
        <f>IFERROR(INDEX(Components!$B$2:$B$500,MATCH(F98,Components!$I$2:$I$500,0)),"NOT FOUND")</f>
        <v>Fly ash Class F</v>
      </c>
      <c r="H98" s="15" t="str">
        <f>IF(G98="NOT FOUND","",INDEX(Components!$C$2:$C$500,MATCH(F98,Components!$I$2:$I$500,0)))</f>
        <v>T</v>
      </c>
      <c r="I98" s="26">
        <f t="shared" ref="I98:I129" si="25">IF(G98="NOT FOUND","",IF(E98=H98,1,IFERROR(INDEX(Unit_Factor,MATCH(E98&amp;"&gt;"&amp;H98,Unit_Key,0)),"NO FACTOR")))</f>
        <v>1</v>
      </c>
      <c r="J98" s="27">
        <f t="shared" ref="J98:J129" si="26">IF(ISNUMBER(I98),D98*I98,"")</f>
        <v>9.1000000000000004E-3</v>
      </c>
      <c r="K98" s="24">
        <f>IF(G98="NOT FOUND","",INDEX(Components!$J$2:$J$500,MATCH(F98,Components!$I$2:$I$500,0)))</f>
        <v>98.640000000000015</v>
      </c>
      <c r="L98" s="24">
        <f t="shared" ref="L98:L129" si="27">IF(AND(ISNUMBER(J98),ISNUMBER(K98)),J98*K98,"")</f>
        <v>0.8976240000000002</v>
      </c>
      <c r="M98" s="15" t="str">
        <f>IF(G98="NOT FOUND","",IF(INDEX(Components!$G$2:$G$500,MATCH(F98,Components!$I$2:$I$500,0))="","UNKNOWN",INDEX(Components!$G$2:$G$500,MATCH(F98,Components!$I$2:$I$500,0))))</f>
        <v>US</v>
      </c>
      <c r="N98" s="15" t="str">
        <f t="shared" ref="N98:N129" si="28">IF(M98="","",IF(M98="UNKNOWN","Unknown",IF(M98=Home_Country,"Domestic","Imported")))</f>
        <v>Imported</v>
      </c>
      <c r="O98" s="15" t="str">
        <f>IF(G98="NOT FOUND","",INDEX(Components!$F$2:$F$500,MATCH(F98,Components!$I$2:$I$500,0)))</f>
        <v>SUP-02</v>
      </c>
      <c r="P98" s="28">
        <f>SUMIFS(Sales!$G$2:$G$500,Sales!$I$2:$I$500,A98)</f>
        <v>5458</v>
      </c>
      <c r="Q98" s="29">
        <f t="shared" ref="Q98:Q129" si="29">IF(ISNUMBER(L98),L98*P98,"")</f>
        <v>4899.2317920000014</v>
      </c>
      <c r="R98" s="15" t="str">
        <f t="shared" ref="R98:R112" si="30">IF(G98="NOT FOUND","Unknown component; ","")&amp;IF(I98="NO FACTOR","No unit conversion; ","")&amp;IF(AND(G98&lt;&gt;"NOT FOUND",K98=""),"Missing cost; ","")&amp;IF(M98="UNKNOWN","Missing origin; ","")</f>
        <v/>
      </c>
      <c r="S98" s="15" t="str">
        <f t="shared" ref="S98:S129" si="31">IF(R98="","OK","CHECK")</f>
        <v>OK</v>
      </c>
    </row>
    <row r="99" spans="1:19" x14ac:dyDescent="0.3">
      <c r="A99" s="12" t="s">
        <v>131</v>
      </c>
      <c r="B99" s="12">
        <v>30</v>
      </c>
      <c r="C99" s="12" t="s">
        <v>182</v>
      </c>
      <c r="D99" s="25">
        <v>0.13650000000000001</v>
      </c>
      <c r="E99" s="12" t="s">
        <v>66</v>
      </c>
      <c r="F99" s="15" t="str">
        <f t="shared" si="24"/>
        <v>AGG-20</v>
      </c>
      <c r="G99" s="15" t="str">
        <f>IFERROR(INDEX(Components!$B$2:$B$500,MATCH(F99,Components!$I$2:$I$500,0)),"NOT FOUND")</f>
        <v>Coarse aggregate 20 mm</v>
      </c>
      <c r="H99" s="15" t="str">
        <f>IF(G99="NOT FOUND","",INDEX(Components!$C$2:$C$500,MATCH(F99,Components!$I$2:$I$500,0)))</f>
        <v>T</v>
      </c>
      <c r="I99" s="26">
        <f t="shared" si="25"/>
        <v>1</v>
      </c>
      <c r="J99" s="27">
        <f t="shared" si="26"/>
        <v>0.13650000000000001</v>
      </c>
      <c r="K99" s="24">
        <f>IF(G99="NOT FOUND","",INDEX(Components!$J$2:$J$500,MATCH(F99,Components!$I$2:$I$500,0)))</f>
        <v>28</v>
      </c>
      <c r="L99" s="24">
        <f t="shared" si="27"/>
        <v>3.8220000000000001</v>
      </c>
      <c r="M99" s="15" t="str">
        <f>IF(G99="NOT FOUND","",IF(INDEX(Components!$G$2:$G$500,MATCH(F99,Components!$I$2:$I$500,0))="","UNKNOWN",INDEX(Components!$G$2:$G$500,MATCH(F99,Components!$I$2:$I$500,0))))</f>
        <v>CA</v>
      </c>
      <c r="N99" s="15" t="str">
        <f t="shared" si="28"/>
        <v>Domestic</v>
      </c>
      <c r="O99" s="15" t="str">
        <f>IF(G99="NOT FOUND","",INDEX(Components!$F$2:$F$500,MATCH(F99,Components!$I$2:$I$500,0)))</f>
        <v>SUP-03</v>
      </c>
      <c r="P99" s="28">
        <f>SUMIFS(Sales!$G$2:$G$500,Sales!$I$2:$I$500,A99)</f>
        <v>5458</v>
      </c>
      <c r="Q99" s="29">
        <f t="shared" si="29"/>
        <v>20860.475999999999</v>
      </c>
      <c r="R99" s="15" t="str">
        <f t="shared" si="30"/>
        <v/>
      </c>
      <c r="S99" s="15" t="str">
        <f t="shared" si="31"/>
        <v>OK</v>
      </c>
    </row>
    <row r="100" spans="1:19" x14ac:dyDescent="0.3">
      <c r="A100" s="12" t="s">
        <v>131</v>
      </c>
      <c r="B100" s="12">
        <v>40</v>
      </c>
      <c r="C100" s="12" t="s">
        <v>185</v>
      </c>
      <c r="D100" s="25">
        <v>9.7500000000000003E-2</v>
      </c>
      <c r="E100" s="12" t="s">
        <v>66</v>
      </c>
      <c r="F100" s="15" t="str">
        <f t="shared" si="24"/>
        <v>AGG-SND</v>
      </c>
      <c r="G100" s="15" t="str">
        <f>IFERROR(INDEX(Components!$B$2:$B$500,MATCH(F100,Components!$I$2:$I$500,0)),"NOT FOUND")</f>
        <v>Concrete sand</v>
      </c>
      <c r="H100" s="15" t="str">
        <f>IF(G100="NOT FOUND","",INDEX(Components!$C$2:$C$500,MATCH(F100,Components!$I$2:$I$500,0)))</f>
        <v>T</v>
      </c>
      <c r="I100" s="26">
        <f t="shared" si="25"/>
        <v>1</v>
      </c>
      <c r="J100" s="27">
        <f t="shared" si="26"/>
        <v>9.7500000000000003E-2</v>
      </c>
      <c r="K100" s="24">
        <f>IF(G100="NOT FOUND","",INDEX(Components!$J$2:$J$500,MATCH(F100,Components!$I$2:$I$500,0)))</f>
        <v>24</v>
      </c>
      <c r="L100" s="24">
        <f t="shared" si="27"/>
        <v>2.34</v>
      </c>
      <c r="M100" s="15" t="str">
        <f>IF(G100="NOT FOUND","",IF(INDEX(Components!$G$2:$G$500,MATCH(F100,Components!$I$2:$I$500,0))="","UNKNOWN",INDEX(Components!$G$2:$G$500,MATCH(F100,Components!$I$2:$I$500,0))))</f>
        <v>CA</v>
      </c>
      <c r="N100" s="15" t="str">
        <f t="shared" si="28"/>
        <v>Domestic</v>
      </c>
      <c r="O100" s="15" t="str">
        <f>IF(G100="NOT FOUND","",INDEX(Components!$F$2:$F$500,MATCH(F100,Components!$I$2:$I$500,0)))</f>
        <v>SUP-03</v>
      </c>
      <c r="P100" s="28">
        <f>SUMIFS(Sales!$G$2:$G$500,Sales!$I$2:$I$500,A100)</f>
        <v>5458</v>
      </c>
      <c r="Q100" s="29">
        <f t="shared" si="29"/>
        <v>12771.72</v>
      </c>
      <c r="R100" s="15" t="str">
        <f t="shared" si="30"/>
        <v/>
      </c>
      <c r="S100" s="15" t="str">
        <f t="shared" si="31"/>
        <v>OK</v>
      </c>
    </row>
    <row r="101" spans="1:19" x14ac:dyDescent="0.3">
      <c r="A101" s="12" t="s">
        <v>131</v>
      </c>
      <c r="B101" s="12">
        <v>50</v>
      </c>
      <c r="C101" s="12" t="s">
        <v>188</v>
      </c>
      <c r="D101" s="25">
        <v>0.26</v>
      </c>
      <c r="E101" s="12" t="s">
        <v>190</v>
      </c>
      <c r="F101" s="15" t="str">
        <f t="shared" si="24"/>
        <v>ADM-SP</v>
      </c>
      <c r="G101" s="15" t="str">
        <f>IFERROR(INDEX(Components!$B$2:$B$500,MATCH(F101,Components!$I$2:$I$500,0)),"NOT FOUND")</f>
        <v>Superplasticizer admixture</v>
      </c>
      <c r="H101" s="15" t="str">
        <f>IF(G101="NOT FOUND","",INDEX(Components!$C$2:$C$500,MATCH(F101,Components!$I$2:$I$500,0)))</f>
        <v>L</v>
      </c>
      <c r="I101" s="26">
        <f t="shared" si="25"/>
        <v>1</v>
      </c>
      <c r="J101" s="27">
        <f t="shared" si="26"/>
        <v>0.26</v>
      </c>
      <c r="K101" s="24">
        <f>IF(G101="NOT FOUND","",INDEX(Components!$J$2:$J$500,MATCH(F101,Components!$I$2:$I$500,0)))</f>
        <v>4.2470000000000008</v>
      </c>
      <c r="L101" s="24">
        <f t="shared" si="27"/>
        <v>1.1042200000000002</v>
      </c>
      <c r="M101" s="15" t="str">
        <f>IF(G101="NOT FOUND","",IF(INDEX(Components!$G$2:$G$500,MATCH(F101,Components!$I$2:$I$500,0))="","UNKNOWN",INDEX(Components!$G$2:$G$500,MATCH(F101,Components!$I$2:$I$500,0))))</f>
        <v>US</v>
      </c>
      <c r="N101" s="15" t="str">
        <f t="shared" si="28"/>
        <v>Imported</v>
      </c>
      <c r="O101" s="15" t="str">
        <f>IF(G101="NOT FOUND","",INDEX(Components!$F$2:$F$500,MATCH(F101,Components!$I$2:$I$500,0)))</f>
        <v>SUP-04</v>
      </c>
      <c r="P101" s="28">
        <f>SUMIFS(Sales!$G$2:$G$500,Sales!$I$2:$I$500,A101)</f>
        <v>5458</v>
      </c>
      <c r="Q101" s="29">
        <f t="shared" si="29"/>
        <v>6026.8327600000011</v>
      </c>
      <c r="R101" s="15" t="str">
        <f t="shared" si="30"/>
        <v/>
      </c>
      <c r="S101" s="15" t="str">
        <f t="shared" si="31"/>
        <v>OK</v>
      </c>
    </row>
    <row r="102" spans="1:19" x14ac:dyDescent="0.3">
      <c r="A102" s="12" t="s">
        <v>131</v>
      </c>
      <c r="B102" s="12">
        <v>60</v>
      </c>
      <c r="C102" s="12" t="s">
        <v>192</v>
      </c>
      <c r="D102" s="25">
        <v>5.1999999999999998E-2</v>
      </c>
      <c r="E102" s="12" t="s">
        <v>190</v>
      </c>
      <c r="F102" s="15" t="str">
        <f t="shared" si="24"/>
        <v>ADM-AE</v>
      </c>
      <c r="G102" s="15" t="str">
        <f>IFERROR(INDEX(Components!$B$2:$B$500,MATCH(F102,Components!$I$2:$I$500,0)),"NOT FOUND")</f>
        <v>Air-entraining admixture</v>
      </c>
      <c r="H102" s="15" t="str">
        <f>IF(G102="NOT FOUND","",INDEX(Components!$C$2:$C$500,MATCH(F102,Components!$I$2:$I$500,0)))</f>
        <v>L</v>
      </c>
      <c r="I102" s="26">
        <f t="shared" si="25"/>
        <v>1</v>
      </c>
      <c r="J102" s="27">
        <f t="shared" si="26"/>
        <v>5.1999999999999998E-2</v>
      </c>
      <c r="K102" s="24">
        <f>IF(G102="NOT FOUND","",INDEX(Components!$J$2:$J$500,MATCH(F102,Components!$I$2:$I$500,0)))</f>
        <v>3.2880000000000003</v>
      </c>
      <c r="L102" s="24">
        <f t="shared" si="27"/>
        <v>0.17097600000000002</v>
      </c>
      <c r="M102" s="15" t="str">
        <f>IF(G102="NOT FOUND","",IF(INDEX(Components!$G$2:$G$500,MATCH(F102,Components!$I$2:$I$500,0))="","UNKNOWN",INDEX(Components!$G$2:$G$500,MATCH(F102,Components!$I$2:$I$500,0))))</f>
        <v>US</v>
      </c>
      <c r="N102" s="15" t="str">
        <f t="shared" si="28"/>
        <v>Imported</v>
      </c>
      <c r="O102" s="15" t="str">
        <f>IF(G102="NOT FOUND","",INDEX(Components!$F$2:$F$500,MATCH(F102,Components!$I$2:$I$500,0)))</f>
        <v>SUP-04</v>
      </c>
      <c r="P102" s="28">
        <f>SUMIFS(Sales!$G$2:$G$500,Sales!$I$2:$I$500,A102)</f>
        <v>5458</v>
      </c>
      <c r="Q102" s="29">
        <f t="shared" si="29"/>
        <v>933.18700800000011</v>
      </c>
      <c r="R102" s="15" t="str">
        <f t="shared" si="30"/>
        <v/>
      </c>
      <c r="S102" s="15" t="str">
        <f t="shared" si="31"/>
        <v>OK</v>
      </c>
    </row>
    <row r="103" spans="1:19" x14ac:dyDescent="0.3">
      <c r="A103" s="12" t="s">
        <v>131</v>
      </c>
      <c r="B103" s="12">
        <v>70</v>
      </c>
      <c r="C103" s="12" t="s">
        <v>205</v>
      </c>
      <c r="D103" s="25">
        <v>3.8</v>
      </c>
      <c r="E103" s="12" t="s">
        <v>62</v>
      </c>
      <c r="F103" s="15" t="str">
        <f t="shared" si="24"/>
        <v>STR-127</v>
      </c>
      <c r="G103" s="15" t="str">
        <f>IFERROR(INDEX(Components!$B$2:$B$500,MATCH(F103,Components!$I$2:$I$500,0)),"NOT FOUND")</f>
        <v>Prestressing strand 12.7 mm</v>
      </c>
      <c r="H103" s="15" t="str">
        <f>IF(G103="NOT FOUND","",INDEX(Components!$C$2:$C$500,MATCH(F103,Components!$I$2:$I$500,0)))</f>
        <v>KG</v>
      </c>
      <c r="I103" s="26">
        <f t="shared" si="25"/>
        <v>1</v>
      </c>
      <c r="J103" s="27">
        <f t="shared" si="26"/>
        <v>3.8</v>
      </c>
      <c r="K103" s="24">
        <f>IF(G103="NOT FOUND","",INDEX(Components!$J$2:$J$500,MATCH(F103,Components!$I$2:$I$500,0)))</f>
        <v>2.0550000000000002</v>
      </c>
      <c r="L103" s="24">
        <f t="shared" si="27"/>
        <v>7.8090000000000002</v>
      </c>
      <c r="M103" s="15" t="str">
        <f>IF(G103="NOT FOUND","",IF(INDEX(Components!$G$2:$G$500,MATCH(F103,Components!$I$2:$I$500,0))="","UNKNOWN",INDEX(Components!$G$2:$G$500,MATCH(F103,Components!$I$2:$I$500,0))))</f>
        <v>KR</v>
      </c>
      <c r="N103" s="15" t="str">
        <f t="shared" si="28"/>
        <v>Imported</v>
      </c>
      <c r="O103" s="15" t="str">
        <f>IF(G103="NOT FOUND","",INDEX(Components!$F$2:$F$500,MATCH(F103,Components!$I$2:$I$500,0)))</f>
        <v>SUP-08</v>
      </c>
      <c r="P103" s="28">
        <f>SUMIFS(Sales!$G$2:$G$500,Sales!$I$2:$I$500,A103)</f>
        <v>5458</v>
      </c>
      <c r="Q103" s="29">
        <f t="shared" si="29"/>
        <v>42621.522000000004</v>
      </c>
      <c r="R103" s="15" t="str">
        <f t="shared" si="30"/>
        <v/>
      </c>
      <c r="S103" s="15" t="str">
        <f t="shared" si="31"/>
        <v>OK</v>
      </c>
    </row>
    <row r="104" spans="1:19" x14ac:dyDescent="0.3">
      <c r="A104" s="12" t="s">
        <v>131</v>
      </c>
      <c r="B104" s="12">
        <v>80</v>
      </c>
      <c r="C104" s="12" t="s">
        <v>227</v>
      </c>
      <c r="D104" s="25">
        <v>0.05</v>
      </c>
      <c r="E104" s="12" t="s">
        <v>190</v>
      </c>
      <c r="F104" s="15" t="str">
        <f t="shared" si="24"/>
        <v>FRM-OIL</v>
      </c>
      <c r="G104" s="15" t="str">
        <f>IFERROR(INDEX(Components!$B$2:$B$500,MATCH(F104,Components!$I$2:$I$500,0)),"NOT FOUND")</f>
        <v>Form release agent</v>
      </c>
      <c r="H104" s="15" t="str">
        <f>IF(G104="NOT FOUND","",INDEX(Components!$C$2:$C$500,MATCH(F104,Components!$I$2:$I$500,0)))</f>
        <v>L</v>
      </c>
      <c r="I104" s="26">
        <f t="shared" si="25"/>
        <v>1</v>
      </c>
      <c r="J104" s="27">
        <f t="shared" si="26"/>
        <v>0.05</v>
      </c>
      <c r="K104" s="24">
        <f>IF(G104="NOT FOUND","",INDEX(Components!$J$2:$J$500,MATCH(F104,Components!$I$2:$I$500,0)))</f>
        <v>1.1499999999999999</v>
      </c>
      <c r="L104" s="24">
        <f t="shared" si="27"/>
        <v>5.7499999999999996E-2</v>
      </c>
      <c r="M104" s="15" t="str">
        <f>IF(G104="NOT FOUND","",IF(INDEX(Components!$G$2:$G$500,MATCH(F104,Components!$I$2:$I$500,0))="","UNKNOWN",INDEX(Components!$G$2:$G$500,MATCH(F104,Components!$I$2:$I$500,0))))</f>
        <v>CA</v>
      </c>
      <c r="N104" s="15" t="str">
        <f t="shared" si="28"/>
        <v>Domestic</v>
      </c>
      <c r="O104" s="15" t="str">
        <f>IF(G104="NOT FOUND","",INDEX(Components!$F$2:$F$500,MATCH(F104,Components!$I$2:$I$500,0)))</f>
        <v>SUP-12</v>
      </c>
      <c r="P104" s="28">
        <f>SUMIFS(Sales!$G$2:$G$500,Sales!$I$2:$I$500,A104)</f>
        <v>5458</v>
      </c>
      <c r="Q104" s="29">
        <f t="shared" si="29"/>
        <v>313.83499999999998</v>
      </c>
      <c r="R104" s="15" t="str">
        <f t="shared" si="30"/>
        <v/>
      </c>
      <c r="S104" s="15" t="str">
        <f t="shared" si="31"/>
        <v>OK</v>
      </c>
    </row>
    <row r="105" spans="1:19" x14ac:dyDescent="0.3">
      <c r="A105" s="12" t="s">
        <v>135</v>
      </c>
      <c r="B105" s="12">
        <v>10</v>
      </c>
      <c r="C105" s="12" t="s">
        <v>176</v>
      </c>
      <c r="D105" s="25">
        <v>5.6000000000000001E-2</v>
      </c>
      <c r="E105" s="12" t="s">
        <v>66</v>
      </c>
      <c r="F105" s="15" t="str">
        <f t="shared" si="24"/>
        <v>CMT-GU</v>
      </c>
      <c r="G105" s="15" t="str">
        <f>IFERROR(INDEX(Components!$B$2:$B$500,MATCH(F105,Components!$I$2:$I$500,0)),"NOT FOUND")</f>
        <v>Portland cement Type GU</v>
      </c>
      <c r="H105" s="15" t="str">
        <f>IF(G105="NOT FOUND","",INDEX(Components!$C$2:$C$500,MATCH(F105,Components!$I$2:$I$500,0)))</f>
        <v>T</v>
      </c>
      <c r="I105" s="26">
        <f t="shared" si="25"/>
        <v>1</v>
      </c>
      <c r="J105" s="27">
        <f t="shared" si="26"/>
        <v>5.6000000000000001E-2</v>
      </c>
      <c r="K105" s="24">
        <f>IF(G105="NOT FOUND","",INDEX(Components!$J$2:$J$500,MATCH(F105,Components!$I$2:$I$500,0)))</f>
        <v>235</v>
      </c>
      <c r="L105" s="24">
        <f t="shared" si="27"/>
        <v>13.16</v>
      </c>
      <c r="M105" s="15" t="str">
        <f>IF(G105="NOT FOUND","",IF(INDEX(Components!$G$2:$G$500,MATCH(F105,Components!$I$2:$I$500,0))="","UNKNOWN",INDEX(Components!$G$2:$G$500,MATCH(F105,Components!$I$2:$I$500,0))))</f>
        <v>CA</v>
      </c>
      <c r="N105" s="15" t="str">
        <f t="shared" si="28"/>
        <v>Domestic</v>
      </c>
      <c r="O105" s="15" t="str">
        <f>IF(G105="NOT FOUND","",INDEX(Components!$F$2:$F$500,MATCH(F105,Components!$I$2:$I$500,0)))</f>
        <v>SUP-01</v>
      </c>
      <c r="P105" s="28">
        <f>SUMIFS(Sales!$G$2:$G$500,Sales!$I$2:$I$500,A105)</f>
        <v>3012</v>
      </c>
      <c r="Q105" s="29">
        <f t="shared" si="29"/>
        <v>39637.919999999998</v>
      </c>
      <c r="R105" s="15" t="str">
        <f t="shared" si="30"/>
        <v/>
      </c>
      <c r="S105" s="15" t="str">
        <f t="shared" si="31"/>
        <v>OK</v>
      </c>
    </row>
    <row r="106" spans="1:19" x14ac:dyDescent="0.3">
      <c r="A106" s="12" t="s">
        <v>135</v>
      </c>
      <c r="B106" s="12">
        <v>20</v>
      </c>
      <c r="C106" s="12" t="s">
        <v>179</v>
      </c>
      <c r="D106" s="25">
        <v>1.12E-2</v>
      </c>
      <c r="E106" s="12" t="s">
        <v>66</v>
      </c>
      <c r="F106" s="15" t="str">
        <f t="shared" si="24"/>
        <v>SCM-FA</v>
      </c>
      <c r="G106" s="15" t="str">
        <f>IFERROR(INDEX(Components!$B$2:$B$500,MATCH(F106,Components!$I$2:$I$500,0)),"NOT FOUND")</f>
        <v>Fly ash Class F</v>
      </c>
      <c r="H106" s="15" t="str">
        <f>IF(G106="NOT FOUND","",INDEX(Components!$C$2:$C$500,MATCH(F106,Components!$I$2:$I$500,0)))</f>
        <v>T</v>
      </c>
      <c r="I106" s="26">
        <f t="shared" si="25"/>
        <v>1</v>
      </c>
      <c r="J106" s="27">
        <f t="shared" si="26"/>
        <v>1.12E-2</v>
      </c>
      <c r="K106" s="24">
        <f>IF(G106="NOT FOUND","",INDEX(Components!$J$2:$J$500,MATCH(F106,Components!$I$2:$I$500,0)))</f>
        <v>98.640000000000015</v>
      </c>
      <c r="L106" s="24">
        <f t="shared" si="27"/>
        <v>1.1047680000000002</v>
      </c>
      <c r="M106" s="15" t="str">
        <f>IF(G106="NOT FOUND","",IF(INDEX(Components!$G$2:$G$500,MATCH(F106,Components!$I$2:$I$500,0))="","UNKNOWN",INDEX(Components!$G$2:$G$500,MATCH(F106,Components!$I$2:$I$500,0))))</f>
        <v>US</v>
      </c>
      <c r="N106" s="15" t="str">
        <f t="shared" si="28"/>
        <v>Imported</v>
      </c>
      <c r="O106" s="15" t="str">
        <f>IF(G106="NOT FOUND","",INDEX(Components!$F$2:$F$500,MATCH(F106,Components!$I$2:$I$500,0)))</f>
        <v>SUP-02</v>
      </c>
      <c r="P106" s="28">
        <f>SUMIFS(Sales!$G$2:$G$500,Sales!$I$2:$I$500,A106)</f>
        <v>3012</v>
      </c>
      <c r="Q106" s="29">
        <f t="shared" si="29"/>
        <v>3327.5612160000005</v>
      </c>
      <c r="R106" s="15" t="str">
        <f t="shared" si="30"/>
        <v/>
      </c>
      <c r="S106" s="15" t="str">
        <f t="shared" si="31"/>
        <v>OK</v>
      </c>
    </row>
    <row r="107" spans="1:19" x14ac:dyDescent="0.3">
      <c r="A107" s="12" t="s">
        <v>135</v>
      </c>
      <c r="B107" s="12">
        <v>30</v>
      </c>
      <c r="C107" s="12" t="s">
        <v>182</v>
      </c>
      <c r="D107" s="25">
        <v>0.16800000000000001</v>
      </c>
      <c r="E107" s="12" t="s">
        <v>66</v>
      </c>
      <c r="F107" s="15" t="str">
        <f t="shared" si="24"/>
        <v>AGG-20</v>
      </c>
      <c r="G107" s="15" t="str">
        <f>IFERROR(INDEX(Components!$B$2:$B$500,MATCH(F107,Components!$I$2:$I$500,0)),"NOT FOUND")</f>
        <v>Coarse aggregate 20 mm</v>
      </c>
      <c r="H107" s="15" t="str">
        <f>IF(G107="NOT FOUND","",INDEX(Components!$C$2:$C$500,MATCH(F107,Components!$I$2:$I$500,0)))</f>
        <v>T</v>
      </c>
      <c r="I107" s="26">
        <f t="shared" si="25"/>
        <v>1</v>
      </c>
      <c r="J107" s="27">
        <f t="shared" si="26"/>
        <v>0.16800000000000001</v>
      </c>
      <c r="K107" s="24">
        <f>IF(G107="NOT FOUND","",INDEX(Components!$J$2:$J$500,MATCH(F107,Components!$I$2:$I$500,0)))</f>
        <v>28</v>
      </c>
      <c r="L107" s="24">
        <f t="shared" si="27"/>
        <v>4.7040000000000006</v>
      </c>
      <c r="M107" s="15" t="str">
        <f>IF(G107="NOT FOUND","",IF(INDEX(Components!$G$2:$G$500,MATCH(F107,Components!$I$2:$I$500,0))="","UNKNOWN",INDEX(Components!$G$2:$G$500,MATCH(F107,Components!$I$2:$I$500,0))))</f>
        <v>CA</v>
      </c>
      <c r="N107" s="15" t="str">
        <f t="shared" si="28"/>
        <v>Domestic</v>
      </c>
      <c r="O107" s="15" t="str">
        <f>IF(G107="NOT FOUND","",INDEX(Components!$F$2:$F$500,MATCH(F107,Components!$I$2:$I$500,0)))</f>
        <v>SUP-03</v>
      </c>
      <c r="P107" s="28">
        <f>SUMIFS(Sales!$G$2:$G$500,Sales!$I$2:$I$500,A107)</f>
        <v>3012</v>
      </c>
      <c r="Q107" s="29">
        <f t="shared" si="29"/>
        <v>14168.448000000002</v>
      </c>
      <c r="R107" s="15" t="str">
        <f t="shared" si="30"/>
        <v/>
      </c>
      <c r="S107" s="15" t="str">
        <f t="shared" si="31"/>
        <v>OK</v>
      </c>
    </row>
    <row r="108" spans="1:19" x14ac:dyDescent="0.3">
      <c r="A108" s="12" t="s">
        <v>135</v>
      </c>
      <c r="B108" s="12">
        <v>40</v>
      </c>
      <c r="C108" s="12" t="s">
        <v>185</v>
      </c>
      <c r="D108" s="25">
        <v>0.12</v>
      </c>
      <c r="E108" s="12" t="s">
        <v>66</v>
      </c>
      <c r="F108" s="15" t="str">
        <f t="shared" si="24"/>
        <v>AGG-SND</v>
      </c>
      <c r="G108" s="15" t="str">
        <f>IFERROR(INDEX(Components!$B$2:$B$500,MATCH(F108,Components!$I$2:$I$500,0)),"NOT FOUND")</f>
        <v>Concrete sand</v>
      </c>
      <c r="H108" s="15" t="str">
        <f>IF(G108="NOT FOUND","",INDEX(Components!$C$2:$C$500,MATCH(F108,Components!$I$2:$I$500,0)))</f>
        <v>T</v>
      </c>
      <c r="I108" s="26">
        <f t="shared" si="25"/>
        <v>1</v>
      </c>
      <c r="J108" s="27">
        <f t="shared" si="26"/>
        <v>0.12</v>
      </c>
      <c r="K108" s="24">
        <f>IF(G108="NOT FOUND","",INDEX(Components!$J$2:$J$500,MATCH(F108,Components!$I$2:$I$500,0)))</f>
        <v>24</v>
      </c>
      <c r="L108" s="24">
        <f t="shared" si="27"/>
        <v>2.88</v>
      </c>
      <c r="M108" s="15" t="str">
        <f>IF(G108="NOT FOUND","",IF(INDEX(Components!$G$2:$G$500,MATCH(F108,Components!$I$2:$I$500,0))="","UNKNOWN",INDEX(Components!$G$2:$G$500,MATCH(F108,Components!$I$2:$I$500,0))))</f>
        <v>CA</v>
      </c>
      <c r="N108" s="15" t="str">
        <f t="shared" si="28"/>
        <v>Domestic</v>
      </c>
      <c r="O108" s="15" t="str">
        <f>IF(G108="NOT FOUND","",INDEX(Components!$F$2:$F$500,MATCH(F108,Components!$I$2:$I$500,0)))</f>
        <v>SUP-03</v>
      </c>
      <c r="P108" s="28">
        <f>SUMIFS(Sales!$G$2:$G$500,Sales!$I$2:$I$500,A108)</f>
        <v>3012</v>
      </c>
      <c r="Q108" s="29">
        <f t="shared" si="29"/>
        <v>8674.56</v>
      </c>
      <c r="R108" s="15" t="str">
        <f t="shared" si="30"/>
        <v/>
      </c>
      <c r="S108" s="15" t="str">
        <f t="shared" si="31"/>
        <v>OK</v>
      </c>
    </row>
    <row r="109" spans="1:19" x14ac:dyDescent="0.3">
      <c r="A109" s="12" t="s">
        <v>135</v>
      </c>
      <c r="B109" s="12">
        <v>50</v>
      </c>
      <c r="C109" s="12" t="s">
        <v>188</v>
      </c>
      <c r="D109" s="25">
        <v>0.32</v>
      </c>
      <c r="E109" s="12" t="s">
        <v>190</v>
      </c>
      <c r="F109" s="15" t="str">
        <f t="shared" si="24"/>
        <v>ADM-SP</v>
      </c>
      <c r="G109" s="15" t="str">
        <f>IFERROR(INDEX(Components!$B$2:$B$500,MATCH(F109,Components!$I$2:$I$500,0)),"NOT FOUND")</f>
        <v>Superplasticizer admixture</v>
      </c>
      <c r="H109" s="15" t="str">
        <f>IF(G109="NOT FOUND","",INDEX(Components!$C$2:$C$500,MATCH(F109,Components!$I$2:$I$500,0)))</f>
        <v>L</v>
      </c>
      <c r="I109" s="26">
        <f t="shared" si="25"/>
        <v>1</v>
      </c>
      <c r="J109" s="27">
        <f t="shared" si="26"/>
        <v>0.32</v>
      </c>
      <c r="K109" s="24">
        <f>IF(G109="NOT FOUND","",INDEX(Components!$J$2:$J$500,MATCH(F109,Components!$I$2:$I$500,0)))</f>
        <v>4.2470000000000008</v>
      </c>
      <c r="L109" s="24">
        <f t="shared" si="27"/>
        <v>1.3590400000000002</v>
      </c>
      <c r="M109" s="15" t="str">
        <f>IF(G109="NOT FOUND","",IF(INDEX(Components!$G$2:$G$500,MATCH(F109,Components!$I$2:$I$500,0))="","UNKNOWN",INDEX(Components!$G$2:$G$500,MATCH(F109,Components!$I$2:$I$500,0))))</f>
        <v>US</v>
      </c>
      <c r="N109" s="15" t="str">
        <f t="shared" si="28"/>
        <v>Imported</v>
      </c>
      <c r="O109" s="15" t="str">
        <f>IF(G109="NOT FOUND","",INDEX(Components!$F$2:$F$500,MATCH(F109,Components!$I$2:$I$500,0)))</f>
        <v>SUP-04</v>
      </c>
      <c r="P109" s="28">
        <f>SUMIFS(Sales!$G$2:$G$500,Sales!$I$2:$I$500,A109)</f>
        <v>3012</v>
      </c>
      <c r="Q109" s="29">
        <f t="shared" si="29"/>
        <v>4093.4284800000009</v>
      </c>
      <c r="R109" s="15" t="str">
        <f t="shared" si="30"/>
        <v/>
      </c>
      <c r="S109" s="15" t="str">
        <f t="shared" si="31"/>
        <v>OK</v>
      </c>
    </row>
    <row r="110" spans="1:19" x14ac:dyDescent="0.3">
      <c r="A110" s="12" t="s">
        <v>135</v>
      </c>
      <c r="B110" s="12">
        <v>60</v>
      </c>
      <c r="C110" s="12" t="s">
        <v>192</v>
      </c>
      <c r="D110" s="25">
        <v>6.4000000000000001E-2</v>
      </c>
      <c r="E110" s="12" t="s">
        <v>190</v>
      </c>
      <c r="F110" s="15" t="str">
        <f t="shared" si="24"/>
        <v>ADM-AE</v>
      </c>
      <c r="G110" s="15" t="str">
        <f>IFERROR(INDEX(Components!$B$2:$B$500,MATCH(F110,Components!$I$2:$I$500,0)),"NOT FOUND")</f>
        <v>Air-entraining admixture</v>
      </c>
      <c r="H110" s="15" t="str">
        <f>IF(G110="NOT FOUND","",INDEX(Components!$C$2:$C$500,MATCH(F110,Components!$I$2:$I$500,0)))</f>
        <v>L</v>
      </c>
      <c r="I110" s="26">
        <f t="shared" si="25"/>
        <v>1</v>
      </c>
      <c r="J110" s="27">
        <f t="shared" si="26"/>
        <v>6.4000000000000001E-2</v>
      </c>
      <c r="K110" s="24">
        <f>IF(G110="NOT FOUND","",INDEX(Components!$J$2:$J$500,MATCH(F110,Components!$I$2:$I$500,0)))</f>
        <v>3.2880000000000003</v>
      </c>
      <c r="L110" s="24">
        <f t="shared" si="27"/>
        <v>0.21043200000000001</v>
      </c>
      <c r="M110" s="15" t="str">
        <f>IF(G110="NOT FOUND","",IF(INDEX(Components!$G$2:$G$500,MATCH(F110,Components!$I$2:$I$500,0))="","UNKNOWN",INDEX(Components!$G$2:$G$500,MATCH(F110,Components!$I$2:$I$500,0))))</f>
        <v>US</v>
      </c>
      <c r="N110" s="15" t="str">
        <f t="shared" si="28"/>
        <v>Imported</v>
      </c>
      <c r="O110" s="15" t="str">
        <f>IF(G110="NOT FOUND","",INDEX(Components!$F$2:$F$500,MATCH(F110,Components!$I$2:$I$500,0)))</f>
        <v>SUP-04</v>
      </c>
      <c r="P110" s="28">
        <f>SUMIFS(Sales!$G$2:$G$500,Sales!$I$2:$I$500,A110)</f>
        <v>3012</v>
      </c>
      <c r="Q110" s="29">
        <f t="shared" si="29"/>
        <v>633.82118400000002</v>
      </c>
      <c r="R110" s="15" t="str">
        <f t="shared" si="30"/>
        <v/>
      </c>
      <c r="S110" s="15" t="str">
        <f t="shared" si="31"/>
        <v>OK</v>
      </c>
    </row>
    <row r="111" spans="1:19" x14ac:dyDescent="0.3">
      <c r="A111" s="12" t="s">
        <v>135</v>
      </c>
      <c r="B111" s="12">
        <v>70</v>
      </c>
      <c r="C111" s="12" t="s">
        <v>205</v>
      </c>
      <c r="D111" s="25">
        <v>4.5999999999999996</v>
      </c>
      <c r="E111" s="12" t="s">
        <v>62</v>
      </c>
      <c r="F111" s="15" t="str">
        <f t="shared" si="24"/>
        <v>STR-127</v>
      </c>
      <c r="G111" s="15" t="str">
        <f>IFERROR(INDEX(Components!$B$2:$B$500,MATCH(F111,Components!$I$2:$I$500,0)),"NOT FOUND")</f>
        <v>Prestressing strand 12.7 mm</v>
      </c>
      <c r="H111" s="15" t="str">
        <f>IF(G111="NOT FOUND","",INDEX(Components!$C$2:$C$500,MATCH(F111,Components!$I$2:$I$500,0)))</f>
        <v>KG</v>
      </c>
      <c r="I111" s="26">
        <f t="shared" si="25"/>
        <v>1</v>
      </c>
      <c r="J111" s="27">
        <f t="shared" si="26"/>
        <v>4.5999999999999996</v>
      </c>
      <c r="K111" s="24">
        <f>IF(G111="NOT FOUND","",INDEX(Components!$J$2:$J$500,MATCH(F111,Components!$I$2:$I$500,0)))</f>
        <v>2.0550000000000002</v>
      </c>
      <c r="L111" s="24">
        <f t="shared" si="27"/>
        <v>9.4529999999999994</v>
      </c>
      <c r="M111" s="15" t="str">
        <f>IF(G111="NOT FOUND","",IF(INDEX(Components!$G$2:$G$500,MATCH(F111,Components!$I$2:$I$500,0))="","UNKNOWN",INDEX(Components!$G$2:$G$500,MATCH(F111,Components!$I$2:$I$500,0))))</f>
        <v>KR</v>
      </c>
      <c r="N111" s="15" t="str">
        <f t="shared" si="28"/>
        <v>Imported</v>
      </c>
      <c r="O111" s="15" t="str">
        <f>IF(G111="NOT FOUND","",INDEX(Components!$F$2:$F$500,MATCH(F111,Components!$I$2:$I$500,0)))</f>
        <v>SUP-08</v>
      </c>
      <c r="P111" s="28">
        <f>SUMIFS(Sales!$G$2:$G$500,Sales!$I$2:$I$500,A111)</f>
        <v>3012</v>
      </c>
      <c r="Q111" s="29">
        <f t="shared" si="29"/>
        <v>28472.435999999998</v>
      </c>
      <c r="R111" s="15" t="str">
        <f t="shared" si="30"/>
        <v/>
      </c>
      <c r="S111" s="15" t="str">
        <f t="shared" si="31"/>
        <v>OK</v>
      </c>
    </row>
    <row r="112" spans="1:19" x14ac:dyDescent="0.3">
      <c r="A112" s="12" t="s">
        <v>135</v>
      </c>
      <c r="B112" s="12">
        <v>80</v>
      </c>
      <c r="C112" s="12" t="s">
        <v>227</v>
      </c>
      <c r="D112" s="25">
        <v>0.06</v>
      </c>
      <c r="E112" s="12" t="s">
        <v>190</v>
      </c>
      <c r="F112" s="15" t="str">
        <f t="shared" si="24"/>
        <v>FRM-OIL</v>
      </c>
      <c r="G112" s="15" t="str">
        <f>IFERROR(INDEX(Components!$B$2:$B$500,MATCH(F112,Components!$I$2:$I$500,0)),"NOT FOUND")</f>
        <v>Form release agent</v>
      </c>
      <c r="H112" s="15" t="str">
        <f>IF(G112="NOT FOUND","",INDEX(Components!$C$2:$C$500,MATCH(F112,Components!$I$2:$I$500,0)))</f>
        <v>L</v>
      </c>
      <c r="I112" s="26">
        <f t="shared" si="25"/>
        <v>1</v>
      </c>
      <c r="J112" s="27">
        <f t="shared" si="26"/>
        <v>0.06</v>
      </c>
      <c r="K112" s="24">
        <f>IF(G112="NOT FOUND","",INDEX(Components!$J$2:$J$500,MATCH(F112,Components!$I$2:$I$500,0)))</f>
        <v>1.1499999999999999</v>
      </c>
      <c r="L112" s="24">
        <f t="shared" si="27"/>
        <v>6.8999999999999992E-2</v>
      </c>
      <c r="M112" s="15" t="str">
        <f>IF(G112="NOT FOUND","",IF(INDEX(Components!$G$2:$G$500,MATCH(F112,Components!$I$2:$I$500,0))="","UNKNOWN",INDEX(Components!$G$2:$G$500,MATCH(F112,Components!$I$2:$I$500,0))))</f>
        <v>CA</v>
      </c>
      <c r="N112" s="15" t="str">
        <f t="shared" si="28"/>
        <v>Domestic</v>
      </c>
      <c r="O112" s="15" t="str">
        <f>IF(G112="NOT FOUND","",INDEX(Components!$F$2:$F$500,MATCH(F112,Components!$I$2:$I$500,0)))</f>
        <v>SUP-12</v>
      </c>
      <c r="P112" s="28">
        <f>SUMIFS(Sales!$G$2:$G$500,Sales!$I$2:$I$500,A112)</f>
        <v>3012</v>
      </c>
      <c r="Q112" s="29">
        <f t="shared" si="29"/>
        <v>207.82799999999997</v>
      </c>
      <c r="R112" s="15" t="str">
        <f t="shared" si="30"/>
        <v/>
      </c>
      <c r="S112" s="15" t="str">
        <f t="shared" si="31"/>
        <v>OK</v>
      </c>
    </row>
  </sheetData>
  <autoFilter ref="A1:S112" xr:uid="{00000000-0009-0000-0000-000005000000}"/>
  <conditionalFormatting sqref="S2:S112">
    <cfRule type="cellIs" dxfId="12" priority="2" operator="equal">
      <formula>"CHECK"</formula>
    </cfRule>
    <cfRule type="cellIs" dxfId="11" priority="3" operator="equal">
      <formula>"OK"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3A5F"/>
    <pageSetUpPr fitToPage="1"/>
  </sheetPr>
  <dimension ref="A1:R26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3" width="11" customWidth="1"/>
    <col min="4" max="5" width="9" customWidth="1"/>
    <col min="6" max="6" width="13" customWidth="1"/>
    <col min="7" max="7" width="7" customWidth="1"/>
    <col min="8" max="8" width="12" customWidth="1"/>
    <col min="9" max="9" width="13" customWidth="1"/>
    <col min="10" max="10" width="12" customWidth="1"/>
    <col min="11" max="11" width="11" customWidth="1"/>
    <col min="12" max="12" width="12" customWidth="1"/>
    <col min="13" max="13" width="9" customWidth="1"/>
    <col min="14" max="14" width="10" customWidth="1"/>
    <col min="15" max="15" width="11" customWidth="1"/>
    <col min="16" max="16" width="13" customWidth="1"/>
    <col min="17" max="17" width="30" customWidth="1"/>
    <col min="18" max="18" width="9" customWidth="1"/>
  </cols>
  <sheetData>
    <row r="1" spans="1:18" ht="30" customHeight="1" x14ac:dyDescent="0.3">
      <c r="A1" s="20" t="s">
        <v>245</v>
      </c>
      <c r="B1" s="20" t="s">
        <v>246</v>
      </c>
      <c r="C1" s="20" t="s">
        <v>247</v>
      </c>
      <c r="D1" s="20" t="s">
        <v>248</v>
      </c>
      <c r="E1" s="20" t="s">
        <v>249</v>
      </c>
      <c r="F1" s="20" t="s">
        <v>93</v>
      </c>
      <c r="G1" s="20" t="s">
        <v>250</v>
      </c>
      <c r="H1" s="20" t="s">
        <v>251</v>
      </c>
      <c r="I1" s="21" t="s">
        <v>100</v>
      </c>
      <c r="J1" s="21" t="s">
        <v>95</v>
      </c>
      <c r="K1" s="21" t="s">
        <v>98</v>
      </c>
      <c r="L1" s="21" t="s">
        <v>252</v>
      </c>
      <c r="M1" s="21" t="s">
        <v>253</v>
      </c>
      <c r="N1" s="21" t="s">
        <v>254</v>
      </c>
      <c r="O1" s="21" t="s">
        <v>174</v>
      </c>
      <c r="P1" s="21" t="s">
        <v>255</v>
      </c>
      <c r="Q1" s="21" t="s">
        <v>101</v>
      </c>
      <c r="R1" s="21" t="s">
        <v>102</v>
      </c>
    </row>
    <row r="2" spans="1:18" x14ac:dyDescent="0.3">
      <c r="A2" s="12" t="s">
        <v>256</v>
      </c>
      <c r="B2" s="30">
        <v>45664</v>
      </c>
      <c r="C2" s="12" t="s">
        <v>257</v>
      </c>
      <c r="D2" s="12" t="s">
        <v>258</v>
      </c>
      <c r="E2" s="12" t="s">
        <v>70</v>
      </c>
      <c r="F2" s="12" t="s">
        <v>108</v>
      </c>
      <c r="G2" s="23">
        <v>15</v>
      </c>
      <c r="H2" s="22">
        <v>1083.73</v>
      </c>
      <c r="I2" s="15" t="str">
        <f t="shared" ref="I2:I65" si="0">UPPER(TRIM(F2))</f>
        <v>PC-RCP-0900</v>
      </c>
      <c r="J2" s="15" t="str">
        <f>IFERROR(INDEX(Items!$C$2:$C$500,MATCH(I2,Items!$H$2:$H$500,0)),"UNKNOWN")</f>
        <v>Pipe</v>
      </c>
      <c r="K2" s="24">
        <f>IF(J2="UNKNOWN","",INDEX(Items!$F$2:$F$500,MATCH(I2,Items!$H$2:$H$500,0)))</f>
        <v>1150</v>
      </c>
      <c r="L2" s="24">
        <f t="shared" ref="L2:L65" si="1">IF(ISNUMBER(H2),G2*H2,"")</f>
        <v>16255.95</v>
      </c>
      <c r="M2" s="28">
        <f t="shared" ref="M2:M65" si="2">IF(ISNUMBER(H2),G2,0)</f>
        <v>15</v>
      </c>
      <c r="N2" s="31">
        <f t="shared" ref="N2:N65" si="3">IF(AND(ISNUMBER(H2),ISNUMBER(K2)),1-H2/K2,"")</f>
        <v>5.7626086956521716E-2</v>
      </c>
      <c r="O2" s="24">
        <f>IF(J2="UNKNOWN","",INDEX(Cost_Rollup!$F$5:$F$16,MATCH(I2,Cost_Rollup!$A$5:$A$16,0)))</f>
        <v>750.43372656869997</v>
      </c>
      <c r="P2" s="24">
        <f t="shared" ref="P2:P65" si="4">IF(AND(ISNUMBER(L2),ISNUMBER(O2)),G2*O2,"")</f>
        <v>11256.5058985305</v>
      </c>
      <c r="Q2" s="15" t="str">
        <f t="shared" ref="Q2:Q65" si="5">IF(H2="","Missing price; ","")&amp;IF(J2="UNKNOWN","Unknown item; ","")&amp;IF(AND(ISNUMBER(N2),N2&gt;Discount_Threshold),"Discount above limit; ","")</f>
        <v/>
      </c>
      <c r="R2" s="15" t="str">
        <f t="shared" ref="R2:R65" si="6">IF(Q2="","OK","CHECK")</f>
        <v>OK</v>
      </c>
    </row>
    <row r="3" spans="1:18" x14ac:dyDescent="0.3">
      <c r="A3" s="12" t="s">
        <v>259</v>
      </c>
      <c r="B3" s="30">
        <v>45664</v>
      </c>
      <c r="C3" s="12" t="s">
        <v>260</v>
      </c>
      <c r="D3" s="12" t="s">
        <v>258</v>
      </c>
      <c r="E3" s="12" t="s">
        <v>70</v>
      </c>
      <c r="F3" s="12" t="s">
        <v>108</v>
      </c>
      <c r="G3" s="23">
        <v>28</v>
      </c>
      <c r="H3" s="22">
        <v>1090.02</v>
      </c>
      <c r="I3" s="15" t="str">
        <f t="shared" si="0"/>
        <v>PC-RCP-0900</v>
      </c>
      <c r="J3" s="15" t="str">
        <f>IFERROR(INDEX(Items!$C$2:$C$500,MATCH(I3,Items!$H$2:$H$500,0)),"UNKNOWN")</f>
        <v>Pipe</v>
      </c>
      <c r="K3" s="24">
        <f>IF(J3="UNKNOWN","",INDEX(Items!$F$2:$F$500,MATCH(I3,Items!$H$2:$H$500,0)))</f>
        <v>1150</v>
      </c>
      <c r="L3" s="24">
        <f t="shared" si="1"/>
        <v>30520.559999999998</v>
      </c>
      <c r="M3" s="28">
        <f t="shared" si="2"/>
        <v>28</v>
      </c>
      <c r="N3" s="31">
        <f t="shared" si="3"/>
        <v>5.2156521739130435E-2</v>
      </c>
      <c r="O3" s="24">
        <f>IF(J3="UNKNOWN","",INDEX(Cost_Rollup!$F$5:$F$16,MATCH(I3,Cost_Rollup!$A$5:$A$16,0)))</f>
        <v>750.43372656869997</v>
      </c>
      <c r="P3" s="24">
        <f t="shared" si="4"/>
        <v>21012.144343923599</v>
      </c>
      <c r="Q3" s="15" t="str">
        <f t="shared" si="5"/>
        <v/>
      </c>
      <c r="R3" s="15" t="str">
        <f t="shared" si="6"/>
        <v>OK</v>
      </c>
    </row>
    <row r="4" spans="1:18" x14ac:dyDescent="0.3">
      <c r="A4" s="12" t="s">
        <v>261</v>
      </c>
      <c r="B4" s="30">
        <v>45665</v>
      </c>
      <c r="C4" s="12" t="s">
        <v>257</v>
      </c>
      <c r="D4" s="12" t="s">
        <v>258</v>
      </c>
      <c r="E4" s="12" t="s">
        <v>70</v>
      </c>
      <c r="F4" s="12" t="s">
        <v>125</v>
      </c>
      <c r="G4" s="23">
        <v>31</v>
      </c>
      <c r="H4" s="22">
        <v>1466.46</v>
      </c>
      <c r="I4" s="15" t="str">
        <f t="shared" si="0"/>
        <v>PC-BAR-F38</v>
      </c>
      <c r="J4" s="15" t="str">
        <f>IFERROR(INDEX(Items!$C$2:$C$500,MATCH(I4,Items!$H$2:$H$500,0)),"UNKNOWN")</f>
        <v>Barrier</v>
      </c>
      <c r="K4" s="24">
        <f>IF(J4="UNKNOWN","",INDEX(Items!$F$2:$F$500,MATCH(I4,Items!$H$2:$H$500,0)))</f>
        <v>1450</v>
      </c>
      <c r="L4" s="24">
        <f t="shared" si="1"/>
        <v>45460.26</v>
      </c>
      <c r="M4" s="28">
        <f t="shared" si="2"/>
        <v>31</v>
      </c>
      <c r="N4" s="31">
        <f t="shared" si="3"/>
        <v>-1.1351724137931063E-2</v>
      </c>
      <c r="O4" s="24">
        <f>IF(J4="UNKNOWN","",INDEX(Cost_Rollup!$F$5:$F$16,MATCH(I4,Cost_Rollup!$A$5:$A$16,0)))</f>
        <v>978.66327999999999</v>
      </c>
      <c r="P4" s="24">
        <f t="shared" si="4"/>
        <v>30338.561679999999</v>
      </c>
      <c r="Q4" s="15" t="str">
        <f t="shared" si="5"/>
        <v/>
      </c>
      <c r="R4" s="15" t="str">
        <f t="shared" si="6"/>
        <v>OK</v>
      </c>
    </row>
    <row r="5" spans="1:18" x14ac:dyDescent="0.3">
      <c r="A5" s="12" t="s">
        <v>262</v>
      </c>
      <c r="B5" s="30">
        <v>45667</v>
      </c>
      <c r="C5" s="12" t="s">
        <v>263</v>
      </c>
      <c r="D5" s="12" t="s">
        <v>258</v>
      </c>
      <c r="E5" s="12" t="s">
        <v>70</v>
      </c>
      <c r="F5" s="12" t="s">
        <v>110</v>
      </c>
      <c r="G5" s="23">
        <v>24</v>
      </c>
      <c r="H5" s="22">
        <v>1934.39</v>
      </c>
      <c r="I5" s="15" t="str">
        <f t="shared" si="0"/>
        <v>PC-RCP-1200</v>
      </c>
      <c r="J5" s="15" t="str">
        <f>IFERROR(INDEX(Items!$C$2:$C$500,MATCH(I5,Items!$H$2:$H$500,0)),"UNKNOWN")</f>
        <v>Pipe</v>
      </c>
      <c r="K5" s="24">
        <f>IF(J5="UNKNOWN","",INDEX(Items!$F$2:$F$500,MATCH(I5,Items!$H$2:$H$500,0)))</f>
        <v>1890</v>
      </c>
      <c r="L5" s="24">
        <f t="shared" si="1"/>
        <v>46425.36</v>
      </c>
      <c r="M5" s="28">
        <f t="shared" si="2"/>
        <v>24</v>
      </c>
      <c r="N5" s="31">
        <f t="shared" si="3"/>
        <v>-2.3486772486772445E-2</v>
      </c>
      <c r="O5" s="24">
        <f>IF(J5="UNKNOWN","",INDEX(Cost_Rollup!$F$5:$F$16,MATCH(I5,Cost_Rollup!$A$5:$A$16,0)))</f>
        <v>1206.4054000000001</v>
      </c>
      <c r="P5" s="24">
        <f t="shared" si="4"/>
        <v>28953.729600000002</v>
      </c>
      <c r="Q5" s="15" t="str">
        <f t="shared" si="5"/>
        <v/>
      </c>
      <c r="R5" s="15" t="str">
        <f t="shared" si="6"/>
        <v>OK</v>
      </c>
    </row>
    <row r="6" spans="1:18" x14ac:dyDescent="0.3">
      <c r="A6" s="12" t="s">
        <v>264</v>
      </c>
      <c r="B6" s="30">
        <v>45668</v>
      </c>
      <c r="C6" s="12" t="s">
        <v>265</v>
      </c>
      <c r="D6" s="12" t="s">
        <v>266</v>
      </c>
      <c r="E6" s="12" t="s">
        <v>70</v>
      </c>
      <c r="F6" s="12" t="s">
        <v>122</v>
      </c>
      <c r="G6" s="23">
        <v>2</v>
      </c>
      <c r="H6" s="22">
        <v>714.72</v>
      </c>
      <c r="I6" s="15" t="str">
        <f t="shared" si="0"/>
        <v>PC-CB-0600</v>
      </c>
      <c r="J6" s="15" t="str">
        <f>IFERROR(INDEX(Items!$C$2:$C$500,MATCH(I6,Items!$H$2:$H$500,0)),"UNKNOWN")</f>
        <v>Catch Basin</v>
      </c>
      <c r="K6" s="24">
        <f>IF(J6="UNKNOWN","",INDEX(Items!$F$2:$F$500,MATCH(I6,Items!$H$2:$H$500,0)))</f>
        <v>690</v>
      </c>
      <c r="L6" s="24">
        <f t="shared" si="1"/>
        <v>1429.44</v>
      </c>
      <c r="M6" s="28">
        <f t="shared" si="2"/>
        <v>2</v>
      </c>
      <c r="N6" s="31">
        <f t="shared" si="3"/>
        <v>-3.5826086956521674E-2</v>
      </c>
      <c r="O6" s="24">
        <f>IF(J6="UNKNOWN","",INDEX(Cost_Rollup!$F$5:$F$16,MATCH(I6,Cost_Rollup!$A$5:$A$16,0)))</f>
        <v>471.04880000000003</v>
      </c>
      <c r="P6" s="24">
        <f t="shared" si="4"/>
        <v>942.09760000000006</v>
      </c>
      <c r="Q6" s="15" t="str">
        <f t="shared" si="5"/>
        <v/>
      </c>
      <c r="R6" s="15" t="str">
        <f t="shared" si="6"/>
        <v>OK</v>
      </c>
    </row>
    <row r="7" spans="1:18" x14ac:dyDescent="0.3">
      <c r="A7" s="12" t="s">
        <v>267</v>
      </c>
      <c r="B7" s="30">
        <v>45668</v>
      </c>
      <c r="C7" s="12" t="s">
        <v>268</v>
      </c>
      <c r="D7" s="12" t="s">
        <v>269</v>
      </c>
      <c r="E7" s="12" t="s">
        <v>70</v>
      </c>
      <c r="F7" s="12" t="s">
        <v>125</v>
      </c>
      <c r="G7" s="23">
        <v>21</v>
      </c>
      <c r="H7" s="22">
        <v>1331.51</v>
      </c>
      <c r="I7" s="15" t="str">
        <f t="shared" si="0"/>
        <v>PC-BAR-F38</v>
      </c>
      <c r="J7" s="15" t="str">
        <f>IFERROR(INDEX(Items!$C$2:$C$500,MATCH(I7,Items!$H$2:$H$500,0)),"UNKNOWN")</f>
        <v>Barrier</v>
      </c>
      <c r="K7" s="24">
        <f>IF(J7="UNKNOWN","",INDEX(Items!$F$2:$F$500,MATCH(I7,Items!$H$2:$H$500,0)))</f>
        <v>1450</v>
      </c>
      <c r="L7" s="24">
        <f t="shared" si="1"/>
        <v>27961.71</v>
      </c>
      <c r="M7" s="28">
        <f t="shared" si="2"/>
        <v>21</v>
      </c>
      <c r="N7" s="31">
        <f t="shared" si="3"/>
        <v>8.1717241379310357E-2</v>
      </c>
      <c r="O7" s="24">
        <f>IF(J7="UNKNOWN","",INDEX(Cost_Rollup!$F$5:$F$16,MATCH(I7,Cost_Rollup!$A$5:$A$16,0)))</f>
        <v>978.66327999999999</v>
      </c>
      <c r="P7" s="24">
        <f t="shared" si="4"/>
        <v>20551.928879999999</v>
      </c>
      <c r="Q7" s="15" t="str">
        <f t="shared" si="5"/>
        <v/>
      </c>
      <c r="R7" s="15" t="str">
        <f t="shared" si="6"/>
        <v>OK</v>
      </c>
    </row>
    <row r="8" spans="1:18" x14ac:dyDescent="0.3">
      <c r="A8" s="12" t="s">
        <v>270</v>
      </c>
      <c r="B8" s="30">
        <v>45668</v>
      </c>
      <c r="C8" s="12" t="s">
        <v>260</v>
      </c>
      <c r="D8" s="12" t="s">
        <v>258</v>
      </c>
      <c r="E8" s="12" t="s">
        <v>70</v>
      </c>
      <c r="F8" s="12" t="s">
        <v>110</v>
      </c>
      <c r="G8" s="23">
        <v>14</v>
      </c>
      <c r="H8" s="22">
        <v>1958.27</v>
      </c>
      <c r="I8" s="15" t="str">
        <f t="shared" si="0"/>
        <v>PC-RCP-1200</v>
      </c>
      <c r="J8" s="15" t="str">
        <f>IFERROR(INDEX(Items!$C$2:$C$500,MATCH(I8,Items!$H$2:$H$500,0)),"UNKNOWN")</f>
        <v>Pipe</v>
      </c>
      <c r="K8" s="24">
        <f>IF(J8="UNKNOWN","",INDEX(Items!$F$2:$F$500,MATCH(I8,Items!$H$2:$H$500,0)))</f>
        <v>1890</v>
      </c>
      <c r="L8" s="24">
        <f t="shared" si="1"/>
        <v>27415.78</v>
      </c>
      <c r="M8" s="28">
        <f t="shared" si="2"/>
        <v>14</v>
      </c>
      <c r="N8" s="31">
        <f t="shared" si="3"/>
        <v>-3.6121693121693221E-2</v>
      </c>
      <c r="O8" s="24">
        <f>IF(J8="UNKNOWN","",INDEX(Cost_Rollup!$F$5:$F$16,MATCH(I8,Cost_Rollup!$A$5:$A$16,0)))</f>
        <v>1206.4054000000001</v>
      </c>
      <c r="P8" s="24">
        <f t="shared" si="4"/>
        <v>16889.675600000002</v>
      </c>
      <c r="Q8" s="15" t="str">
        <f t="shared" si="5"/>
        <v/>
      </c>
      <c r="R8" s="15" t="str">
        <f t="shared" si="6"/>
        <v>OK</v>
      </c>
    </row>
    <row r="9" spans="1:18" x14ac:dyDescent="0.3">
      <c r="A9" s="12" t="s">
        <v>271</v>
      </c>
      <c r="B9" s="30">
        <v>45670</v>
      </c>
      <c r="C9" s="12" t="s">
        <v>260</v>
      </c>
      <c r="D9" s="12" t="s">
        <v>258</v>
      </c>
      <c r="E9" s="12" t="s">
        <v>70</v>
      </c>
      <c r="F9" s="12" t="s">
        <v>103</v>
      </c>
      <c r="G9" s="23">
        <v>18</v>
      </c>
      <c r="H9" s="22">
        <v>628.03</v>
      </c>
      <c r="I9" s="15" t="str">
        <f t="shared" si="0"/>
        <v>PC-RCP-0600</v>
      </c>
      <c r="J9" s="15" t="str">
        <f>IFERROR(INDEX(Items!$C$2:$C$500,MATCH(I9,Items!$H$2:$H$500,0)),"UNKNOWN")</f>
        <v>Pipe</v>
      </c>
      <c r="K9" s="24">
        <f>IF(J9="UNKNOWN","",INDEX(Items!$F$2:$F$500,MATCH(I9,Items!$H$2:$H$500,0)))</f>
        <v>640</v>
      </c>
      <c r="L9" s="24">
        <f t="shared" si="1"/>
        <v>11304.539999999999</v>
      </c>
      <c r="M9" s="28">
        <f t="shared" si="2"/>
        <v>18</v>
      </c>
      <c r="N9" s="31">
        <f t="shared" si="3"/>
        <v>1.8703125000000043E-2</v>
      </c>
      <c r="O9" s="24">
        <f>IF(J9="UNKNOWN","",INDEX(Cost_Rollup!$F$5:$F$16,MATCH(I9,Cost_Rollup!$A$5:$A$16,0)))</f>
        <v>429.94831999999997</v>
      </c>
      <c r="P9" s="24">
        <f t="shared" si="4"/>
        <v>7739.0697599999994</v>
      </c>
      <c r="Q9" s="15" t="str">
        <f t="shared" si="5"/>
        <v/>
      </c>
      <c r="R9" s="15" t="str">
        <f t="shared" si="6"/>
        <v>OK</v>
      </c>
    </row>
    <row r="10" spans="1:18" x14ac:dyDescent="0.3">
      <c r="A10" s="12" t="s">
        <v>272</v>
      </c>
      <c r="B10" s="30">
        <v>45670</v>
      </c>
      <c r="C10" s="12" t="s">
        <v>273</v>
      </c>
      <c r="D10" s="12" t="s">
        <v>274</v>
      </c>
      <c r="E10" s="12" t="s">
        <v>147</v>
      </c>
      <c r="F10" s="12" t="s">
        <v>120</v>
      </c>
      <c r="G10" s="23">
        <v>2</v>
      </c>
      <c r="H10" s="22">
        <v>500.11</v>
      </c>
      <c r="I10" s="15" t="str">
        <f t="shared" si="0"/>
        <v>PC-MH-1200R</v>
      </c>
      <c r="J10" s="15" t="str">
        <f>IFERROR(INDEX(Items!$C$2:$C$500,MATCH(I10,Items!$H$2:$H$500,0)),"UNKNOWN")</f>
        <v>Manhole</v>
      </c>
      <c r="K10" s="24">
        <f>IF(J10="UNKNOWN","",INDEX(Items!$F$2:$F$500,MATCH(I10,Items!$H$2:$H$500,0)))</f>
        <v>520</v>
      </c>
      <c r="L10" s="24">
        <f t="shared" si="1"/>
        <v>1000.22</v>
      </c>
      <c r="M10" s="28">
        <f t="shared" si="2"/>
        <v>2</v>
      </c>
      <c r="N10" s="31">
        <f t="shared" si="3"/>
        <v>3.8250000000000006E-2</v>
      </c>
      <c r="O10" s="24">
        <f>IF(J10="UNKNOWN","",INDEX(Cost_Rollup!$F$5:$F$16,MATCH(I10,Cost_Rollup!$A$5:$A$16,0)))</f>
        <v>381.98428000000001</v>
      </c>
      <c r="P10" s="24">
        <f t="shared" si="4"/>
        <v>763.96856000000002</v>
      </c>
      <c r="Q10" s="15" t="str">
        <f t="shared" si="5"/>
        <v/>
      </c>
      <c r="R10" s="15" t="str">
        <f t="shared" si="6"/>
        <v>OK</v>
      </c>
    </row>
    <row r="11" spans="1:18" x14ac:dyDescent="0.3">
      <c r="A11" s="12" t="s">
        <v>275</v>
      </c>
      <c r="B11" s="30">
        <v>45672</v>
      </c>
      <c r="C11" s="12" t="s">
        <v>276</v>
      </c>
      <c r="D11" s="12" t="s">
        <v>277</v>
      </c>
      <c r="E11" s="12" t="s">
        <v>70</v>
      </c>
      <c r="F11" s="12" t="s">
        <v>112</v>
      </c>
      <c r="G11" s="23">
        <v>6</v>
      </c>
      <c r="H11" s="22">
        <v>4116.71</v>
      </c>
      <c r="I11" s="15" t="str">
        <f t="shared" si="0"/>
        <v>PC-BOX-1812</v>
      </c>
      <c r="J11" s="15" t="str">
        <f>IFERROR(INDEX(Items!$C$2:$C$500,MATCH(I11,Items!$H$2:$H$500,0)),"UNKNOWN")</f>
        <v>Box Culvert</v>
      </c>
      <c r="K11" s="24">
        <f>IF(J11="UNKNOWN","",INDEX(Items!$F$2:$F$500,MATCH(I11,Items!$H$2:$H$500,0)))</f>
        <v>4200</v>
      </c>
      <c r="L11" s="24">
        <f t="shared" si="1"/>
        <v>24700.260000000002</v>
      </c>
      <c r="M11" s="28">
        <f t="shared" si="2"/>
        <v>6</v>
      </c>
      <c r="N11" s="31">
        <f t="shared" si="3"/>
        <v>1.9830952380952338E-2</v>
      </c>
      <c r="O11" s="24">
        <f>IF(J11="UNKNOWN","",INDEX(Cost_Rollup!$F$5:$F$16,MATCH(I11,Cost_Rollup!$A$5:$A$16,0)))</f>
        <v>2795.3624</v>
      </c>
      <c r="P11" s="24">
        <f t="shared" si="4"/>
        <v>16772.1744</v>
      </c>
      <c r="Q11" s="15" t="str">
        <f t="shared" si="5"/>
        <v/>
      </c>
      <c r="R11" s="15" t="str">
        <f t="shared" si="6"/>
        <v>OK</v>
      </c>
    </row>
    <row r="12" spans="1:18" x14ac:dyDescent="0.3">
      <c r="A12" s="12" t="s">
        <v>278</v>
      </c>
      <c r="B12" s="30">
        <v>45673</v>
      </c>
      <c r="C12" s="12" t="s">
        <v>279</v>
      </c>
      <c r="D12" s="12" t="s">
        <v>280</v>
      </c>
      <c r="E12" s="12" t="s">
        <v>147</v>
      </c>
      <c r="F12" s="12" t="s">
        <v>129</v>
      </c>
      <c r="G12" s="23">
        <v>23</v>
      </c>
      <c r="H12" s="22">
        <v>2427.02</v>
      </c>
      <c r="I12" s="15" t="str">
        <f t="shared" si="0"/>
        <v>PC-BAR-SS60</v>
      </c>
      <c r="J12" s="15" t="str">
        <f>IFERROR(INDEX(Items!$C$2:$C$500,MATCH(I12,Items!$H$2:$H$500,0)),"UNKNOWN")</f>
        <v>Barrier</v>
      </c>
      <c r="K12" s="24">
        <f>IF(J12="UNKNOWN","",INDEX(Items!$F$2:$F$500,MATCH(I12,Items!$H$2:$H$500,0)))</f>
        <v>2350</v>
      </c>
      <c r="L12" s="24">
        <f t="shared" si="1"/>
        <v>55821.46</v>
      </c>
      <c r="M12" s="28">
        <f t="shared" si="2"/>
        <v>23</v>
      </c>
      <c r="N12" s="31">
        <f t="shared" si="3"/>
        <v>-3.2774468085106312E-2</v>
      </c>
      <c r="O12" s="24">
        <f>IF(J12="UNKNOWN","",INDEX(Cost_Rollup!$F$5:$F$16,MATCH(I12,Cost_Rollup!$A$5:$A$16,0)))</f>
        <v>1583.5454</v>
      </c>
      <c r="P12" s="24">
        <f t="shared" si="4"/>
        <v>36421.544199999997</v>
      </c>
      <c r="Q12" s="15" t="str">
        <f t="shared" si="5"/>
        <v/>
      </c>
      <c r="R12" s="15" t="str">
        <f t="shared" si="6"/>
        <v>OK</v>
      </c>
    </row>
    <row r="13" spans="1:18" x14ac:dyDescent="0.3">
      <c r="A13" s="12" t="s">
        <v>281</v>
      </c>
      <c r="B13" s="30">
        <v>45674</v>
      </c>
      <c r="C13" s="12" t="s">
        <v>279</v>
      </c>
      <c r="D13" s="12" t="s">
        <v>280</v>
      </c>
      <c r="E13" s="12" t="s">
        <v>147</v>
      </c>
      <c r="F13" s="12" t="s">
        <v>118</v>
      </c>
      <c r="G13" s="23">
        <v>5</v>
      </c>
      <c r="H13" s="22">
        <v>1261.22</v>
      </c>
      <c r="I13" s="15" t="str">
        <f t="shared" si="0"/>
        <v>PC-MH-1200B</v>
      </c>
      <c r="J13" s="15" t="str">
        <f>IFERROR(INDEX(Items!$C$2:$C$500,MATCH(I13,Items!$H$2:$H$500,0)),"UNKNOWN")</f>
        <v>Manhole</v>
      </c>
      <c r="K13" s="24">
        <f>IF(J13="UNKNOWN","",INDEX(Items!$F$2:$F$500,MATCH(I13,Items!$H$2:$H$500,0)))</f>
        <v>1240</v>
      </c>
      <c r="L13" s="24">
        <f t="shared" si="1"/>
        <v>6306.1</v>
      </c>
      <c r="M13" s="28">
        <f t="shared" si="2"/>
        <v>5</v>
      </c>
      <c r="N13" s="31">
        <f t="shared" si="3"/>
        <v>-1.7112903225806386E-2</v>
      </c>
      <c r="O13" s="24">
        <f>IF(J13="UNKNOWN","",INDEX(Cost_Rollup!$F$5:$F$16,MATCH(I13,Cost_Rollup!$A$5:$A$16,0)))</f>
        <v>753.42079999999999</v>
      </c>
      <c r="P13" s="24">
        <f t="shared" si="4"/>
        <v>3767.1039999999998</v>
      </c>
      <c r="Q13" s="15" t="str">
        <f t="shared" si="5"/>
        <v/>
      </c>
      <c r="R13" s="15" t="str">
        <f t="shared" si="6"/>
        <v>OK</v>
      </c>
    </row>
    <row r="14" spans="1:18" x14ac:dyDescent="0.3">
      <c r="A14" s="12" t="s">
        <v>282</v>
      </c>
      <c r="B14" s="30">
        <v>45677</v>
      </c>
      <c r="C14" s="12" t="s">
        <v>260</v>
      </c>
      <c r="D14" s="12" t="s">
        <v>258</v>
      </c>
      <c r="E14" s="12" t="s">
        <v>70</v>
      </c>
      <c r="F14" s="12" t="s">
        <v>112</v>
      </c>
      <c r="G14" s="23">
        <v>5</v>
      </c>
      <c r="H14" s="22">
        <v>3882.79</v>
      </c>
      <c r="I14" s="15" t="str">
        <f t="shared" si="0"/>
        <v>PC-BOX-1812</v>
      </c>
      <c r="J14" s="15" t="str">
        <f>IFERROR(INDEX(Items!$C$2:$C$500,MATCH(I14,Items!$H$2:$H$500,0)),"UNKNOWN")</f>
        <v>Box Culvert</v>
      </c>
      <c r="K14" s="24">
        <f>IF(J14="UNKNOWN","",INDEX(Items!$F$2:$F$500,MATCH(I14,Items!$H$2:$H$500,0)))</f>
        <v>4200</v>
      </c>
      <c r="L14" s="24">
        <f t="shared" si="1"/>
        <v>19413.95</v>
      </c>
      <c r="M14" s="28">
        <f t="shared" si="2"/>
        <v>5</v>
      </c>
      <c r="N14" s="31">
        <f t="shared" si="3"/>
        <v>7.5526190476190469E-2</v>
      </c>
      <c r="O14" s="24">
        <f>IF(J14="UNKNOWN","",INDEX(Cost_Rollup!$F$5:$F$16,MATCH(I14,Cost_Rollup!$A$5:$A$16,0)))</f>
        <v>2795.3624</v>
      </c>
      <c r="P14" s="24">
        <f t="shared" si="4"/>
        <v>13976.812</v>
      </c>
      <c r="Q14" s="15" t="str">
        <f t="shared" si="5"/>
        <v/>
      </c>
      <c r="R14" s="15" t="str">
        <f t="shared" si="6"/>
        <v>OK</v>
      </c>
    </row>
    <row r="15" spans="1:18" x14ac:dyDescent="0.3">
      <c r="A15" s="12" t="s">
        <v>283</v>
      </c>
      <c r="B15" s="30">
        <v>45680</v>
      </c>
      <c r="C15" s="12" t="s">
        <v>268</v>
      </c>
      <c r="D15" s="12" t="s">
        <v>269</v>
      </c>
      <c r="E15" s="12" t="s">
        <v>70</v>
      </c>
      <c r="F15" s="12" t="s">
        <v>115</v>
      </c>
      <c r="G15" s="23">
        <v>3</v>
      </c>
      <c r="H15" s="22">
        <v>901.1</v>
      </c>
      <c r="I15" s="15" t="str">
        <f t="shared" si="0"/>
        <v>PC-MH-1050B</v>
      </c>
      <c r="J15" s="15" t="str">
        <f>IFERROR(INDEX(Items!$C$2:$C$500,MATCH(I15,Items!$H$2:$H$500,0)),"UNKNOWN")</f>
        <v>Manhole</v>
      </c>
      <c r="K15" s="24">
        <f>IF(J15="UNKNOWN","",INDEX(Items!$F$2:$F$500,MATCH(I15,Items!$H$2:$H$500,0)))</f>
        <v>980</v>
      </c>
      <c r="L15" s="24">
        <f t="shared" si="1"/>
        <v>2703.3</v>
      </c>
      <c r="M15" s="28">
        <f t="shared" si="2"/>
        <v>3</v>
      </c>
      <c r="N15" s="31">
        <f t="shared" si="3"/>
        <v>8.0510204081632675E-2</v>
      </c>
      <c r="O15" s="24">
        <f>IF(J15="UNKNOWN","",INDEX(Cost_Rollup!$F$5:$F$16,MATCH(I15,Cost_Rollup!$A$5:$A$16,0)))</f>
        <v>635.43299999999999</v>
      </c>
      <c r="P15" s="24">
        <f t="shared" si="4"/>
        <v>1906.299</v>
      </c>
      <c r="Q15" s="15" t="str">
        <f t="shared" si="5"/>
        <v/>
      </c>
      <c r="R15" s="15" t="str">
        <f t="shared" si="6"/>
        <v>OK</v>
      </c>
    </row>
    <row r="16" spans="1:18" x14ac:dyDescent="0.3">
      <c r="A16" s="12" t="s">
        <v>284</v>
      </c>
      <c r="B16" s="30">
        <v>45681</v>
      </c>
      <c r="C16" s="12" t="s">
        <v>285</v>
      </c>
      <c r="D16" s="12" t="s">
        <v>266</v>
      </c>
      <c r="E16" s="12" t="s">
        <v>70</v>
      </c>
      <c r="F16" s="12" t="s">
        <v>125</v>
      </c>
      <c r="G16" s="23">
        <v>26</v>
      </c>
      <c r="H16" s="22">
        <v>1419.04</v>
      </c>
      <c r="I16" s="15" t="str">
        <f t="shared" si="0"/>
        <v>PC-BAR-F38</v>
      </c>
      <c r="J16" s="15" t="str">
        <f>IFERROR(INDEX(Items!$C$2:$C$500,MATCH(I16,Items!$H$2:$H$500,0)),"UNKNOWN")</f>
        <v>Barrier</v>
      </c>
      <c r="K16" s="24">
        <f>IF(J16="UNKNOWN","",INDEX(Items!$F$2:$F$500,MATCH(I16,Items!$H$2:$H$500,0)))</f>
        <v>1450</v>
      </c>
      <c r="L16" s="24">
        <f t="shared" si="1"/>
        <v>36895.040000000001</v>
      </c>
      <c r="M16" s="28">
        <f t="shared" si="2"/>
        <v>26</v>
      </c>
      <c r="N16" s="31">
        <f t="shared" si="3"/>
        <v>2.1351724137931072E-2</v>
      </c>
      <c r="O16" s="24">
        <f>IF(J16="UNKNOWN","",INDEX(Cost_Rollup!$F$5:$F$16,MATCH(I16,Cost_Rollup!$A$5:$A$16,0)))</f>
        <v>978.66327999999999</v>
      </c>
      <c r="P16" s="24">
        <f t="shared" si="4"/>
        <v>25445.245279999999</v>
      </c>
      <c r="Q16" s="15" t="str">
        <f t="shared" si="5"/>
        <v/>
      </c>
      <c r="R16" s="15" t="str">
        <f t="shared" si="6"/>
        <v>OK</v>
      </c>
    </row>
    <row r="17" spans="1:18" x14ac:dyDescent="0.3">
      <c r="A17" s="12" t="s">
        <v>286</v>
      </c>
      <c r="B17" s="30">
        <v>45682</v>
      </c>
      <c r="C17" s="12" t="s">
        <v>260</v>
      </c>
      <c r="D17" s="12" t="s">
        <v>258</v>
      </c>
      <c r="E17" s="12" t="s">
        <v>70</v>
      </c>
      <c r="F17" s="12" t="s">
        <v>129</v>
      </c>
      <c r="G17" s="23">
        <v>7</v>
      </c>
      <c r="H17" s="22">
        <v>2138.11</v>
      </c>
      <c r="I17" s="15" t="str">
        <f t="shared" si="0"/>
        <v>PC-BAR-SS60</v>
      </c>
      <c r="J17" s="15" t="str">
        <f>IFERROR(INDEX(Items!$C$2:$C$500,MATCH(I17,Items!$H$2:$H$500,0)),"UNKNOWN")</f>
        <v>Barrier</v>
      </c>
      <c r="K17" s="24">
        <f>IF(J17="UNKNOWN","",INDEX(Items!$F$2:$F$500,MATCH(I17,Items!$H$2:$H$500,0)))</f>
        <v>2350</v>
      </c>
      <c r="L17" s="24">
        <f t="shared" si="1"/>
        <v>14966.77</v>
      </c>
      <c r="M17" s="28">
        <f t="shared" si="2"/>
        <v>7</v>
      </c>
      <c r="N17" s="31">
        <f t="shared" si="3"/>
        <v>9.0165957446808442E-2</v>
      </c>
      <c r="O17" s="24">
        <f>IF(J17="UNKNOWN","",INDEX(Cost_Rollup!$F$5:$F$16,MATCH(I17,Cost_Rollup!$A$5:$A$16,0)))</f>
        <v>1583.5454</v>
      </c>
      <c r="P17" s="24">
        <f t="shared" si="4"/>
        <v>11084.817800000001</v>
      </c>
      <c r="Q17" s="15" t="str">
        <f t="shared" si="5"/>
        <v/>
      </c>
      <c r="R17" s="15" t="str">
        <f t="shared" si="6"/>
        <v>OK</v>
      </c>
    </row>
    <row r="18" spans="1:18" x14ac:dyDescent="0.3">
      <c r="A18" s="12" t="s">
        <v>287</v>
      </c>
      <c r="B18" s="30">
        <v>45683</v>
      </c>
      <c r="C18" s="12" t="s">
        <v>279</v>
      </c>
      <c r="D18" s="12" t="s">
        <v>280</v>
      </c>
      <c r="E18" s="12" t="s">
        <v>147</v>
      </c>
      <c r="F18" s="12" t="s">
        <v>103</v>
      </c>
      <c r="G18" s="23">
        <v>5</v>
      </c>
      <c r="H18" s="22">
        <v>584.48</v>
      </c>
      <c r="I18" s="15" t="str">
        <f t="shared" si="0"/>
        <v>PC-RCP-0600</v>
      </c>
      <c r="J18" s="15" t="str">
        <f>IFERROR(INDEX(Items!$C$2:$C$500,MATCH(I18,Items!$H$2:$H$500,0)),"UNKNOWN")</f>
        <v>Pipe</v>
      </c>
      <c r="K18" s="24">
        <f>IF(J18="UNKNOWN","",INDEX(Items!$F$2:$F$500,MATCH(I18,Items!$H$2:$H$500,0)))</f>
        <v>640</v>
      </c>
      <c r="L18" s="24">
        <f t="shared" si="1"/>
        <v>2922.4</v>
      </c>
      <c r="M18" s="28">
        <f t="shared" si="2"/>
        <v>5</v>
      </c>
      <c r="N18" s="31">
        <f t="shared" si="3"/>
        <v>8.6749999999999994E-2</v>
      </c>
      <c r="O18" s="24">
        <f>IF(J18="UNKNOWN","",INDEX(Cost_Rollup!$F$5:$F$16,MATCH(I18,Cost_Rollup!$A$5:$A$16,0)))</f>
        <v>429.94831999999997</v>
      </c>
      <c r="P18" s="24">
        <f t="shared" si="4"/>
        <v>2149.7415999999998</v>
      </c>
      <c r="Q18" s="15" t="str">
        <f t="shared" si="5"/>
        <v/>
      </c>
      <c r="R18" s="15" t="str">
        <f t="shared" si="6"/>
        <v>OK</v>
      </c>
    </row>
    <row r="19" spans="1:18" x14ac:dyDescent="0.3">
      <c r="A19" s="12" t="s">
        <v>288</v>
      </c>
      <c r="B19" s="30">
        <v>45685</v>
      </c>
      <c r="C19" s="12" t="s">
        <v>276</v>
      </c>
      <c r="D19" s="12" t="s">
        <v>277</v>
      </c>
      <c r="E19" s="12" t="s">
        <v>70</v>
      </c>
      <c r="F19" s="12" t="s">
        <v>115</v>
      </c>
      <c r="G19" s="23">
        <v>6</v>
      </c>
      <c r="H19" s="22">
        <v>903.23</v>
      </c>
      <c r="I19" s="15" t="str">
        <f t="shared" si="0"/>
        <v>PC-MH-1050B</v>
      </c>
      <c r="J19" s="15" t="str">
        <f>IFERROR(INDEX(Items!$C$2:$C$500,MATCH(I19,Items!$H$2:$H$500,0)),"UNKNOWN")</f>
        <v>Manhole</v>
      </c>
      <c r="K19" s="24">
        <f>IF(J19="UNKNOWN","",INDEX(Items!$F$2:$F$500,MATCH(I19,Items!$H$2:$H$500,0)))</f>
        <v>980</v>
      </c>
      <c r="L19" s="24">
        <f t="shared" si="1"/>
        <v>5419.38</v>
      </c>
      <c r="M19" s="28">
        <f t="shared" si="2"/>
        <v>6</v>
      </c>
      <c r="N19" s="31">
        <f t="shared" si="3"/>
        <v>7.8336734693877585E-2</v>
      </c>
      <c r="O19" s="24">
        <f>IF(J19="UNKNOWN","",INDEX(Cost_Rollup!$F$5:$F$16,MATCH(I19,Cost_Rollup!$A$5:$A$16,0)))</f>
        <v>635.43299999999999</v>
      </c>
      <c r="P19" s="24">
        <f t="shared" si="4"/>
        <v>3812.598</v>
      </c>
      <c r="Q19" s="15" t="str">
        <f t="shared" si="5"/>
        <v/>
      </c>
      <c r="R19" s="15" t="str">
        <f t="shared" si="6"/>
        <v>OK</v>
      </c>
    </row>
    <row r="20" spans="1:18" x14ac:dyDescent="0.3">
      <c r="A20" s="12" t="s">
        <v>289</v>
      </c>
      <c r="B20" s="30">
        <v>45686</v>
      </c>
      <c r="C20" s="12" t="s">
        <v>260</v>
      </c>
      <c r="D20" s="12" t="s">
        <v>258</v>
      </c>
      <c r="E20" s="12" t="s">
        <v>70</v>
      </c>
      <c r="F20" s="12" t="s">
        <v>129</v>
      </c>
      <c r="G20" s="23">
        <v>38</v>
      </c>
      <c r="H20" s="22">
        <v>2154.37</v>
      </c>
      <c r="I20" s="15" t="str">
        <f t="shared" si="0"/>
        <v>PC-BAR-SS60</v>
      </c>
      <c r="J20" s="15" t="str">
        <f>IFERROR(INDEX(Items!$C$2:$C$500,MATCH(I20,Items!$H$2:$H$500,0)),"UNKNOWN")</f>
        <v>Barrier</v>
      </c>
      <c r="K20" s="24">
        <f>IF(J20="UNKNOWN","",INDEX(Items!$F$2:$F$500,MATCH(I20,Items!$H$2:$H$500,0)))</f>
        <v>2350</v>
      </c>
      <c r="L20" s="24">
        <f t="shared" si="1"/>
        <v>81866.06</v>
      </c>
      <c r="M20" s="28">
        <f t="shared" si="2"/>
        <v>38</v>
      </c>
      <c r="N20" s="31">
        <f t="shared" si="3"/>
        <v>8.324680851063837E-2</v>
      </c>
      <c r="O20" s="24">
        <f>IF(J20="UNKNOWN","",INDEX(Cost_Rollup!$F$5:$F$16,MATCH(I20,Cost_Rollup!$A$5:$A$16,0)))</f>
        <v>1583.5454</v>
      </c>
      <c r="P20" s="24">
        <f t="shared" si="4"/>
        <v>60174.725200000001</v>
      </c>
      <c r="Q20" s="15" t="str">
        <f t="shared" si="5"/>
        <v/>
      </c>
      <c r="R20" s="15" t="str">
        <f t="shared" si="6"/>
        <v>OK</v>
      </c>
    </row>
    <row r="21" spans="1:18" x14ac:dyDescent="0.3">
      <c r="A21" s="12" t="s">
        <v>290</v>
      </c>
      <c r="B21" s="30">
        <v>45687</v>
      </c>
      <c r="C21" s="12" t="s">
        <v>279</v>
      </c>
      <c r="D21" s="12" t="s">
        <v>280</v>
      </c>
      <c r="E21" s="12" t="s">
        <v>147</v>
      </c>
      <c r="F21" s="12" t="s">
        <v>131</v>
      </c>
      <c r="G21" s="23">
        <v>136</v>
      </c>
      <c r="H21" s="22">
        <v>114.19</v>
      </c>
      <c r="I21" s="15" t="str">
        <f t="shared" si="0"/>
        <v>PC-HC-200</v>
      </c>
      <c r="J21" s="15" t="str">
        <f>IFERROR(INDEX(Items!$C$2:$C$500,MATCH(I21,Items!$H$2:$H$500,0)),"UNKNOWN")</f>
        <v>Slab</v>
      </c>
      <c r="K21" s="24">
        <f>IF(J21="UNKNOWN","",INDEX(Items!$F$2:$F$500,MATCH(I21,Items!$H$2:$H$500,0)))</f>
        <v>118</v>
      </c>
      <c r="L21" s="24">
        <f t="shared" si="1"/>
        <v>15529.84</v>
      </c>
      <c r="M21" s="28">
        <f t="shared" si="2"/>
        <v>136</v>
      </c>
      <c r="N21" s="31">
        <f t="shared" si="3"/>
        <v>3.2288135593220413E-2</v>
      </c>
      <c r="O21" s="24">
        <f>IF(J21="UNKNOWN","",INDEX(Cost_Rollup!$F$5:$F$16,MATCH(I21,Cost_Rollup!$A$5:$A$16,0)))</f>
        <v>78.893820000000005</v>
      </c>
      <c r="P21" s="24">
        <f t="shared" si="4"/>
        <v>10729.559520000001</v>
      </c>
      <c r="Q21" s="15" t="str">
        <f t="shared" si="5"/>
        <v/>
      </c>
      <c r="R21" s="15" t="str">
        <f t="shared" si="6"/>
        <v>OK</v>
      </c>
    </row>
    <row r="22" spans="1:18" x14ac:dyDescent="0.3">
      <c r="A22" s="12" t="s">
        <v>291</v>
      </c>
      <c r="B22" s="30">
        <v>45690</v>
      </c>
      <c r="C22" s="12" t="s">
        <v>292</v>
      </c>
      <c r="D22" s="12" t="s">
        <v>277</v>
      </c>
      <c r="E22" s="12" t="s">
        <v>70</v>
      </c>
      <c r="F22" s="12" t="s">
        <v>131</v>
      </c>
      <c r="G22" s="23">
        <v>118</v>
      </c>
      <c r="H22" s="22">
        <v>113.04</v>
      </c>
      <c r="I22" s="15" t="str">
        <f t="shared" si="0"/>
        <v>PC-HC-200</v>
      </c>
      <c r="J22" s="15" t="str">
        <f>IFERROR(INDEX(Items!$C$2:$C$500,MATCH(I22,Items!$H$2:$H$500,0)),"UNKNOWN")</f>
        <v>Slab</v>
      </c>
      <c r="K22" s="24">
        <f>IF(J22="UNKNOWN","",INDEX(Items!$F$2:$F$500,MATCH(I22,Items!$H$2:$H$500,0)))</f>
        <v>118</v>
      </c>
      <c r="L22" s="24">
        <f t="shared" si="1"/>
        <v>13338.720000000001</v>
      </c>
      <c r="M22" s="28">
        <f t="shared" si="2"/>
        <v>118</v>
      </c>
      <c r="N22" s="31">
        <f t="shared" si="3"/>
        <v>4.2033898305084638E-2</v>
      </c>
      <c r="O22" s="24">
        <f>IF(J22="UNKNOWN","",INDEX(Cost_Rollup!$F$5:$F$16,MATCH(I22,Cost_Rollup!$A$5:$A$16,0)))</f>
        <v>78.893820000000005</v>
      </c>
      <c r="P22" s="24">
        <f t="shared" si="4"/>
        <v>9309.4707600000002</v>
      </c>
      <c r="Q22" s="15" t="str">
        <f t="shared" si="5"/>
        <v/>
      </c>
      <c r="R22" s="15" t="str">
        <f t="shared" si="6"/>
        <v>OK</v>
      </c>
    </row>
    <row r="23" spans="1:18" x14ac:dyDescent="0.3">
      <c r="A23" s="12" t="s">
        <v>293</v>
      </c>
      <c r="B23" s="30">
        <v>45696</v>
      </c>
      <c r="C23" s="12" t="s">
        <v>276</v>
      </c>
      <c r="D23" s="12" t="s">
        <v>277</v>
      </c>
      <c r="E23" s="12" t="s">
        <v>70</v>
      </c>
      <c r="F23" s="12" t="s">
        <v>131</v>
      </c>
      <c r="G23" s="23">
        <v>312</v>
      </c>
      <c r="H23" s="22">
        <v>118.85</v>
      </c>
      <c r="I23" s="15" t="str">
        <f t="shared" si="0"/>
        <v>PC-HC-200</v>
      </c>
      <c r="J23" s="15" t="str">
        <f>IFERROR(INDEX(Items!$C$2:$C$500,MATCH(I23,Items!$H$2:$H$500,0)),"UNKNOWN")</f>
        <v>Slab</v>
      </c>
      <c r="K23" s="24">
        <f>IF(J23="UNKNOWN","",INDEX(Items!$F$2:$F$500,MATCH(I23,Items!$H$2:$H$500,0)))</f>
        <v>118</v>
      </c>
      <c r="L23" s="24">
        <f t="shared" si="1"/>
        <v>37081.199999999997</v>
      </c>
      <c r="M23" s="28">
        <f t="shared" si="2"/>
        <v>312</v>
      </c>
      <c r="N23" s="31">
        <f t="shared" si="3"/>
        <v>-7.2033898305083888E-3</v>
      </c>
      <c r="O23" s="24">
        <f>IF(J23="UNKNOWN","",INDEX(Cost_Rollup!$F$5:$F$16,MATCH(I23,Cost_Rollup!$A$5:$A$16,0)))</f>
        <v>78.893820000000005</v>
      </c>
      <c r="P23" s="24">
        <f t="shared" si="4"/>
        <v>24614.87184</v>
      </c>
      <c r="Q23" s="15" t="str">
        <f t="shared" si="5"/>
        <v/>
      </c>
      <c r="R23" s="15" t="str">
        <f t="shared" si="6"/>
        <v>OK</v>
      </c>
    </row>
    <row r="24" spans="1:18" x14ac:dyDescent="0.3">
      <c r="A24" s="12" t="s">
        <v>294</v>
      </c>
      <c r="B24" s="30">
        <v>45701</v>
      </c>
      <c r="C24" s="12" t="s">
        <v>292</v>
      </c>
      <c r="D24" s="12" t="s">
        <v>277</v>
      </c>
      <c r="E24" s="12" t="s">
        <v>70</v>
      </c>
      <c r="F24" s="12" t="s">
        <v>129</v>
      </c>
      <c r="G24" s="23">
        <v>38</v>
      </c>
      <c r="H24" s="22">
        <v>2371.2800000000002</v>
      </c>
      <c r="I24" s="15" t="str">
        <f t="shared" si="0"/>
        <v>PC-BAR-SS60</v>
      </c>
      <c r="J24" s="15" t="str">
        <f>IFERROR(INDEX(Items!$C$2:$C$500,MATCH(I24,Items!$H$2:$H$500,0)),"UNKNOWN")</f>
        <v>Barrier</v>
      </c>
      <c r="K24" s="24">
        <f>IF(J24="UNKNOWN","",INDEX(Items!$F$2:$F$500,MATCH(I24,Items!$H$2:$H$500,0)))</f>
        <v>2350</v>
      </c>
      <c r="L24" s="24">
        <f t="shared" si="1"/>
        <v>90108.640000000014</v>
      </c>
      <c r="M24" s="28">
        <f t="shared" si="2"/>
        <v>38</v>
      </c>
      <c r="N24" s="31">
        <f t="shared" si="3"/>
        <v>-9.0553191489362028E-3</v>
      </c>
      <c r="O24" s="24">
        <f>IF(J24="UNKNOWN","",INDEX(Cost_Rollup!$F$5:$F$16,MATCH(I24,Cost_Rollup!$A$5:$A$16,0)))</f>
        <v>1583.5454</v>
      </c>
      <c r="P24" s="24">
        <f t="shared" si="4"/>
        <v>60174.725200000001</v>
      </c>
      <c r="Q24" s="15" t="str">
        <f t="shared" si="5"/>
        <v/>
      </c>
      <c r="R24" s="15" t="str">
        <f t="shared" si="6"/>
        <v>OK</v>
      </c>
    </row>
    <row r="25" spans="1:18" x14ac:dyDescent="0.3">
      <c r="A25" s="12" t="s">
        <v>295</v>
      </c>
      <c r="B25" s="30">
        <v>45705</v>
      </c>
      <c r="C25" s="12" t="s">
        <v>285</v>
      </c>
      <c r="D25" s="12" t="s">
        <v>266</v>
      </c>
      <c r="E25" s="12" t="s">
        <v>70</v>
      </c>
      <c r="F25" s="12" t="s">
        <v>112</v>
      </c>
      <c r="G25" s="23">
        <v>5</v>
      </c>
      <c r="H25" s="22">
        <v>3851.04</v>
      </c>
      <c r="I25" s="15" t="str">
        <f t="shared" si="0"/>
        <v>PC-BOX-1812</v>
      </c>
      <c r="J25" s="15" t="str">
        <f>IFERROR(INDEX(Items!$C$2:$C$500,MATCH(I25,Items!$H$2:$H$500,0)),"UNKNOWN")</f>
        <v>Box Culvert</v>
      </c>
      <c r="K25" s="24">
        <f>IF(J25="UNKNOWN","",INDEX(Items!$F$2:$F$500,MATCH(I25,Items!$H$2:$H$500,0)))</f>
        <v>4200</v>
      </c>
      <c r="L25" s="24">
        <f t="shared" si="1"/>
        <v>19255.2</v>
      </c>
      <c r="M25" s="28">
        <f t="shared" si="2"/>
        <v>5</v>
      </c>
      <c r="N25" s="31">
        <f t="shared" si="3"/>
        <v>8.3085714285714318E-2</v>
      </c>
      <c r="O25" s="24">
        <f>IF(J25="UNKNOWN","",INDEX(Cost_Rollup!$F$5:$F$16,MATCH(I25,Cost_Rollup!$A$5:$A$16,0)))</f>
        <v>2795.3624</v>
      </c>
      <c r="P25" s="24">
        <f t="shared" si="4"/>
        <v>13976.812</v>
      </c>
      <c r="Q25" s="15" t="str">
        <f t="shared" si="5"/>
        <v/>
      </c>
      <c r="R25" s="15" t="str">
        <f t="shared" si="6"/>
        <v>OK</v>
      </c>
    </row>
    <row r="26" spans="1:18" x14ac:dyDescent="0.3">
      <c r="A26" s="12" t="s">
        <v>296</v>
      </c>
      <c r="B26" s="30">
        <v>45706</v>
      </c>
      <c r="C26" s="12" t="s">
        <v>285</v>
      </c>
      <c r="D26" s="12" t="s">
        <v>266</v>
      </c>
      <c r="E26" s="12" t="s">
        <v>70</v>
      </c>
      <c r="F26" s="12" t="s">
        <v>120</v>
      </c>
      <c r="G26" s="23">
        <v>3</v>
      </c>
      <c r="H26" s="22">
        <v>475.87</v>
      </c>
      <c r="I26" s="15" t="str">
        <f t="shared" si="0"/>
        <v>PC-MH-1200R</v>
      </c>
      <c r="J26" s="15" t="str">
        <f>IFERROR(INDEX(Items!$C$2:$C$500,MATCH(I26,Items!$H$2:$H$500,0)),"UNKNOWN")</f>
        <v>Manhole</v>
      </c>
      <c r="K26" s="24">
        <f>IF(J26="UNKNOWN","",INDEX(Items!$F$2:$F$500,MATCH(I26,Items!$H$2:$H$500,0)))</f>
        <v>520</v>
      </c>
      <c r="L26" s="24">
        <f t="shared" si="1"/>
        <v>1427.6100000000001</v>
      </c>
      <c r="M26" s="28">
        <f t="shared" si="2"/>
        <v>3</v>
      </c>
      <c r="N26" s="31">
        <f t="shared" si="3"/>
        <v>8.486538461538462E-2</v>
      </c>
      <c r="O26" s="24">
        <f>IF(J26="UNKNOWN","",INDEX(Cost_Rollup!$F$5:$F$16,MATCH(I26,Cost_Rollup!$A$5:$A$16,0)))</f>
        <v>381.98428000000001</v>
      </c>
      <c r="P26" s="24">
        <f t="shared" si="4"/>
        <v>1145.9528399999999</v>
      </c>
      <c r="Q26" s="15" t="str">
        <f t="shared" si="5"/>
        <v/>
      </c>
      <c r="R26" s="15" t="str">
        <f t="shared" si="6"/>
        <v>OK</v>
      </c>
    </row>
    <row r="27" spans="1:18" x14ac:dyDescent="0.3">
      <c r="A27" s="12" t="s">
        <v>297</v>
      </c>
      <c r="B27" s="30">
        <v>45708</v>
      </c>
      <c r="C27" s="12" t="s">
        <v>279</v>
      </c>
      <c r="D27" s="12" t="s">
        <v>280</v>
      </c>
      <c r="E27" s="12" t="s">
        <v>147</v>
      </c>
      <c r="F27" s="12" t="s">
        <v>131</v>
      </c>
      <c r="G27" s="23">
        <v>254</v>
      </c>
      <c r="H27" s="22">
        <v>117.28</v>
      </c>
      <c r="I27" s="15" t="str">
        <f t="shared" si="0"/>
        <v>PC-HC-200</v>
      </c>
      <c r="J27" s="15" t="str">
        <f>IFERROR(INDEX(Items!$C$2:$C$500,MATCH(I27,Items!$H$2:$H$500,0)),"UNKNOWN")</f>
        <v>Slab</v>
      </c>
      <c r="K27" s="24">
        <f>IF(J27="UNKNOWN","",INDEX(Items!$F$2:$F$500,MATCH(I27,Items!$H$2:$H$500,0)))</f>
        <v>118</v>
      </c>
      <c r="L27" s="24">
        <f t="shared" si="1"/>
        <v>29789.119999999999</v>
      </c>
      <c r="M27" s="28">
        <f t="shared" si="2"/>
        <v>254</v>
      </c>
      <c r="N27" s="31">
        <f t="shared" si="3"/>
        <v>6.1016949152542521E-3</v>
      </c>
      <c r="O27" s="24">
        <f>IF(J27="UNKNOWN","",INDEX(Cost_Rollup!$F$5:$F$16,MATCH(I27,Cost_Rollup!$A$5:$A$16,0)))</f>
        <v>78.893820000000005</v>
      </c>
      <c r="P27" s="24">
        <f t="shared" si="4"/>
        <v>20039.030280000003</v>
      </c>
      <c r="Q27" s="15" t="str">
        <f t="shared" si="5"/>
        <v/>
      </c>
      <c r="R27" s="15" t="str">
        <f t="shared" si="6"/>
        <v>OK</v>
      </c>
    </row>
    <row r="28" spans="1:18" x14ac:dyDescent="0.3">
      <c r="A28" s="12" t="s">
        <v>298</v>
      </c>
      <c r="B28" s="30">
        <v>45710</v>
      </c>
      <c r="C28" s="12" t="s">
        <v>279</v>
      </c>
      <c r="D28" s="12" t="s">
        <v>280</v>
      </c>
      <c r="E28" s="12" t="s">
        <v>147</v>
      </c>
      <c r="F28" s="12" t="s">
        <v>131</v>
      </c>
      <c r="G28" s="23">
        <v>209</v>
      </c>
      <c r="H28" s="22">
        <v>112.94</v>
      </c>
      <c r="I28" s="15" t="str">
        <f t="shared" si="0"/>
        <v>PC-HC-200</v>
      </c>
      <c r="J28" s="15" t="str">
        <f>IFERROR(INDEX(Items!$C$2:$C$500,MATCH(I28,Items!$H$2:$H$500,0)),"UNKNOWN")</f>
        <v>Slab</v>
      </c>
      <c r="K28" s="24">
        <f>IF(J28="UNKNOWN","",INDEX(Items!$F$2:$F$500,MATCH(I28,Items!$H$2:$H$500,0)))</f>
        <v>118</v>
      </c>
      <c r="L28" s="24">
        <f t="shared" si="1"/>
        <v>23604.46</v>
      </c>
      <c r="M28" s="28">
        <f t="shared" si="2"/>
        <v>209</v>
      </c>
      <c r="N28" s="31">
        <f t="shared" si="3"/>
        <v>4.2881355932203435E-2</v>
      </c>
      <c r="O28" s="24">
        <f>IF(J28="UNKNOWN","",INDEX(Cost_Rollup!$F$5:$F$16,MATCH(I28,Cost_Rollup!$A$5:$A$16,0)))</f>
        <v>78.893820000000005</v>
      </c>
      <c r="P28" s="24">
        <f t="shared" si="4"/>
        <v>16488.808380000002</v>
      </c>
      <c r="Q28" s="15" t="str">
        <f t="shared" si="5"/>
        <v/>
      </c>
      <c r="R28" s="15" t="str">
        <f t="shared" si="6"/>
        <v>OK</v>
      </c>
    </row>
    <row r="29" spans="1:18" x14ac:dyDescent="0.3">
      <c r="A29" s="12" t="s">
        <v>299</v>
      </c>
      <c r="B29" s="30">
        <v>45710</v>
      </c>
      <c r="C29" s="12" t="s">
        <v>292</v>
      </c>
      <c r="D29" s="12" t="s">
        <v>277</v>
      </c>
      <c r="E29" s="12" t="s">
        <v>70</v>
      </c>
      <c r="F29" s="12" t="s">
        <v>125</v>
      </c>
      <c r="G29" s="23">
        <v>21</v>
      </c>
      <c r="H29" s="22">
        <v>1308.7</v>
      </c>
      <c r="I29" s="15" t="str">
        <f t="shared" si="0"/>
        <v>PC-BAR-F38</v>
      </c>
      <c r="J29" s="15" t="str">
        <f>IFERROR(INDEX(Items!$C$2:$C$500,MATCH(I29,Items!$H$2:$H$500,0)),"UNKNOWN")</f>
        <v>Barrier</v>
      </c>
      <c r="K29" s="24">
        <f>IF(J29="UNKNOWN","",INDEX(Items!$F$2:$F$500,MATCH(I29,Items!$H$2:$H$500,0)))</f>
        <v>1450</v>
      </c>
      <c r="L29" s="24">
        <f t="shared" si="1"/>
        <v>27482.7</v>
      </c>
      <c r="M29" s="28">
        <f t="shared" si="2"/>
        <v>21</v>
      </c>
      <c r="N29" s="31">
        <f t="shared" si="3"/>
        <v>9.7448275862068945E-2</v>
      </c>
      <c r="O29" s="24">
        <f>IF(J29="UNKNOWN","",INDEX(Cost_Rollup!$F$5:$F$16,MATCH(I29,Cost_Rollup!$A$5:$A$16,0)))</f>
        <v>978.66327999999999</v>
      </c>
      <c r="P29" s="24">
        <f t="shared" si="4"/>
        <v>20551.928879999999</v>
      </c>
      <c r="Q29" s="15" t="str">
        <f t="shared" si="5"/>
        <v/>
      </c>
      <c r="R29" s="15" t="str">
        <f t="shared" si="6"/>
        <v>OK</v>
      </c>
    </row>
    <row r="30" spans="1:18" x14ac:dyDescent="0.3">
      <c r="A30" s="12" t="s">
        <v>300</v>
      </c>
      <c r="B30" s="30">
        <v>45712</v>
      </c>
      <c r="C30" s="12" t="s">
        <v>273</v>
      </c>
      <c r="D30" s="12" t="s">
        <v>274</v>
      </c>
      <c r="E30" s="12" t="s">
        <v>147</v>
      </c>
      <c r="F30" s="12" t="s">
        <v>110</v>
      </c>
      <c r="G30" s="23">
        <v>7</v>
      </c>
      <c r="H30" s="22">
        <v>1882.13</v>
      </c>
      <c r="I30" s="15" t="str">
        <f t="shared" si="0"/>
        <v>PC-RCP-1200</v>
      </c>
      <c r="J30" s="15" t="str">
        <f>IFERROR(INDEX(Items!$C$2:$C$500,MATCH(I30,Items!$H$2:$H$500,0)),"UNKNOWN")</f>
        <v>Pipe</v>
      </c>
      <c r="K30" s="24">
        <f>IF(J30="UNKNOWN","",INDEX(Items!$F$2:$F$500,MATCH(I30,Items!$H$2:$H$500,0)))</f>
        <v>1890</v>
      </c>
      <c r="L30" s="24">
        <f t="shared" si="1"/>
        <v>13174.91</v>
      </c>
      <c r="M30" s="28">
        <f t="shared" si="2"/>
        <v>7</v>
      </c>
      <c r="N30" s="31">
        <f t="shared" si="3"/>
        <v>4.1640211640211477E-3</v>
      </c>
      <c r="O30" s="24">
        <f>IF(J30="UNKNOWN","",INDEX(Cost_Rollup!$F$5:$F$16,MATCH(I30,Cost_Rollup!$A$5:$A$16,0)))</f>
        <v>1206.4054000000001</v>
      </c>
      <c r="P30" s="24">
        <f t="shared" si="4"/>
        <v>8444.8378000000012</v>
      </c>
      <c r="Q30" s="15" t="str">
        <f t="shared" si="5"/>
        <v/>
      </c>
      <c r="R30" s="15" t="str">
        <f t="shared" si="6"/>
        <v>OK</v>
      </c>
    </row>
    <row r="31" spans="1:18" x14ac:dyDescent="0.3">
      <c r="A31" s="12" t="s">
        <v>301</v>
      </c>
      <c r="B31" s="30">
        <v>45714</v>
      </c>
      <c r="C31" s="12" t="s">
        <v>260</v>
      </c>
      <c r="D31" s="12" t="s">
        <v>258</v>
      </c>
      <c r="E31" s="12" t="s">
        <v>70</v>
      </c>
      <c r="F31" s="12" t="s">
        <v>112</v>
      </c>
      <c r="G31" s="23">
        <v>8</v>
      </c>
      <c r="H31" s="22">
        <v>3852.4</v>
      </c>
      <c r="I31" s="15" t="str">
        <f t="shared" si="0"/>
        <v>PC-BOX-1812</v>
      </c>
      <c r="J31" s="15" t="str">
        <f>IFERROR(INDEX(Items!$C$2:$C$500,MATCH(I31,Items!$H$2:$H$500,0)),"UNKNOWN")</f>
        <v>Box Culvert</v>
      </c>
      <c r="K31" s="24">
        <f>IF(J31="UNKNOWN","",INDEX(Items!$F$2:$F$500,MATCH(I31,Items!$H$2:$H$500,0)))</f>
        <v>4200</v>
      </c>
      <c r="L31" s="24">
        <f t="shared" si="1"/>
        <v>30819.200000000001</v>
      </c>
      <c r="M31" s="28">
        <f t="shared" si="2"/>
        <v>8</v>
      </c>
      <c r="N31" s="31">
        <f t="shared" si="3"/>
        <v>8.2761904761904703E-2</v>
      </c>
      <c r="O31" s="24">
        <f>IF(J31="UNKNOWN","",INDEX(Cost_Rollup!$F$5:$F$16,MATCH(I31,Cost_Rollup!$A$5:$A$16,0)))</f>
        <v>2795.3624</v>
      </c>
      <c r="P31" s="24">
        <f t="shared" si="4"/>
        <v>22362.8992</v>
      </c>
      <c r="Q31" s="15" t="str">
        <f t="shared" si="5"/>
        <v/>
      </c>
      <c r="R31" s="15" t="str">
        <f t="shared" si="6"/>
        <v>OK</v>
      </c>
    </row>
    <row r="32" spans="1:18" x14ac:dyDescent="0.3">
      <c r="A32" s="12" t="s">
        <v>302</v>
      </c>
      <c r="B32" s="30">
        <v>45715</v>
      </c>
      <c r="C32" s="12" t="s">
        <v>265</v>
      </c>
      <c r="D32" s="12" t="s">
        <v>266</v>
      </c>
      <c r="E32" s="12" t="s">
        <v>70</v>
      </c>
      <c r="F32" s="12" t="s">
        <v>129</v>
      </c>
      <c r="G32" s="23">
        <v>40</v>
      </c>
      <c r="H32" s="22">
        <v>2253.38</v>
      </c>
      <c r="I32" s="15" t="str">
        <f t="shared" si="0"/>
        <v>PC-BAR-SS60</v>
      </c>
      <c r="J32" s="15" t="str">
        <f>IFERROR(INDEX(Items!$C$2:$C$500,MATCH(I32,Items!$H$2:$H$500,0)),"UNKNOWN")</f>
        <v>Barrier</v>
      </c>
      <c r="K32" s="24">
        <f>IF(J32="UNKNOWN","",INDEX(Items!$F$2:$F$500,MATCH(I32,Items!$H$2:$H$500,0)))</f>
        <v>2350</v>
      </c>
      <c r="L32" s="24">
        <f t="shared" si="1"/>
        <v>90135.200000000012</v>
      </c>
      <c r="M32" s="28">
        <f t="shared" si="2"/>
        <v>40</v>
      </c>
      <c r="N32" s="31">
        <f t="shared" si="3"/>
        <v>4.1114893617021253E-2</v>
      </c>
      <c r="O32" s="24">
        <f>IF(J32="UNKNOWN","",INDEX(Cost_Rollup!$F$5:$F$16,MATCH(I32,Cost_Rollup!$A$5:$A$16,0)))</f>
        <v>1583.5454</v>
      </c>
      <c r="P32" s="24">
        <f t="shared" si="4"/>
        <v>63341.815999999999</v>
      </c>
      <c r="Q32" s="15" t="str">
        <f t="shared" si="5"/>
        <v/>
      </c>
      <c r="R32" s="15" t="str">
        <f t="shared" si="6"/>
        <v>OK</v>
      </c>
    </row>
    <row r="33" spans="1:18" x14ac:dyDescent="0.3">
      <c r="A33" s="12" t="s">
        <v>303</v>
      </c>
      <c r="B33" s="30">
        <v>45717</v>
      </c>
      <c r="C33" s="12" t="s">
        <v>273</v>
      </c>
      <c r="D33" s="12" t="s">
        <v>274</v>
      </c>
      <c r="E33" s="12" t="s">
        <v>147</v>
      </c>
      <c r="F33" s="12" t="s">
        <v>108</v>
      </c>
      <c r="G33" s="23">
        <v>5</v>
      </c>
      <c r="H33" s="22">
        <v>1169.24</v>
      </c>
      <c r="I33" s="15" t="str">
        <f t="shared" si="0"/>
        <v>PC-RCP-0900</v>
      </c>
      <c r="J33" s="15" t="str">
        <f>IFERROR(INDEX(Items!$C$2:$C$500,MATCH(I33,Items!$H$2:$H$500,0)),"UNKNOWN")</f>
        <v>Pipe</v>
      </c>
      <c r="K33" s="24">
        <f>IF(J33="UNKNOWN","",INDEX(Items!$F$2:$F$500,MATCH(I33,Items!$H$2:$H$500,0)))</f>
        <v>1150</v>
      </c>
      <c r="L33" s="24">
        <f t="shared" si="1"/>
        <v>5846.2</v>
      </c>
      <c r="M33" s="28">
        <f t="shared" si="2"/>
        <v>5</v>
      </c>
      <c r="N33" s="31">
        <f t="shared" si="3"/>
        <v>-1.6730434782608716E-2</v>
      </c>
      <c r="O33" s="24">
        <f>IF(J33="UNKNOWN","",INDEX(Cost_Rollup!$F$5:$F$16,MATCH(I33,Cost_Rollup!$A$5:$A$16,0)))</f>
        <v>750.43372656869997</v>
      </c>
      <c r="P33" s="24">
        <f t="shared" si="4"/>
        <v>3752.1686328434998</v>
      </c>
      <c r="Q33" s="15" t="str">
        <f t="shared" si="5"/>
        <v/>
      </c>
      <c r="R33" s="15" t="str">
        <f t="shared" si="6"/>
        <v>OK</v>
      </c>
    </row>
    <row r="34" spans="1:18" x14ac:dyDescent="0.3">
      <c r="A34" s="12" t="s">
        <v>304</v>
      </c>
      <c r="B34" s="30">
        <v>45717</v>
      </c>
      <c r="C34" s="12" t="s">
        <v>265</v>
      </c>
      <c r="D34" s="12" t="s">
        <v>266</v>
      </c>
      <c r="E34" s="12" t="s">
        <v>70</v>
      </c>
      <c r="F34" s="12" t="s">
        <v>125</v>
      </c>
      <c r="G34" s="23">
        <v>36</v>
      </c>
      <c r="H34" s="22">
        <v>1374.2</v>
      </c>
      <c r="I34" s="15" t="str">
        <f t="shared" si="0"/>
        <v>PC-BAR-F38</v>
      </c>
      <c r="J34" s="15" t="str">
        <f>IFERROR(INDEX(Items!$C$2:$C$500,MATCH(I34,Items!$H$2:$H$500,0)),"UNKNOWN")</f>
        <v>Barrier</v>
      </c>
      <c r="K34" s="24">
        <f>IF(J34="UNKNOWN","",INDEX(Items!$F$2:$F$500,MATCH(I34,Items!$H$2:$H$500,0)))</f>
        <v>1450</v>
      </c>
      <c r="L34" s="24">
        <f t="shared" si="1"/>
        <v>49471.200000000004</v>
      </c>
      <c r="M34" s="28">
        <f t="shared" si="2"/>
        <v>36</v>
      </c>
      <c r="N34" s="31">
        <f t="shared" si="3"/>
        <v>5.2275862068965506E-2</v>
      </c>
      <c r="O34" s="24">
        <f>IF(J34="UNKNOWN","",INDEX(Cost_Rollup!$F$5:$F$16,MATCH(I34,Cost_Rollup!$A$5:$A$16,0)))</f>
        <v>978.66327999999999</v>
      </c>
      <c r="P34" s="24">
        <f t="shared" si="4"/>
        <v>35231.878080000002</v>
      </c>
      <c r="Q34" s="15" t="str">
        <f t="shared" si="5"/>
        <v/>
      </c>
      <c r="R34" s="15" t="str">
        <f t="shared" si="6"/>
        <v>OK</v>
      </c>
    </row>
    <row r="35" spans="1:18" x14ac:dyDescent="0.3">
      <c r="A35" s="12" t="s">
        <v>305</v>
      </c>
      <c r="B35" s="30">
        <v>45719</v>
      </c>
      <c r="C35" s="12" t="s">
        <v>268</v>
      </c>
      <c r="D35" s="12" t="s">
        <v>269</v>
      </c>
      <c r="E35" s="12" t="s">
        <v>70</v>
      </c>
      <c r="F35" s="12" t="s">
        <v>108</v>
      </c>
      <c r="G35" s="23">
        <v>18</v>
      </c>
      <c r="H35" s="22">
        <v>1036.8499999999999</v>
      </c>
      <c r="I35" s="15" t="str">
        <f t="shared" si="0"/>
        <v>PC-RCP-0900</v>
      </c>
      <c r="J35" s="15" t="str">
        <f>IFERROR(INDEX(Items!$C$2:$C$500,MATCH(I35,Items!$H$2:$H$500,0)),"UNKNOWN")</f>
        <v>Pipe</v>
      </c>
      <c r="K35" s="24">
        <f>IF(J35="UNKNOWN","",INDEX(Items!$F$2:$F$500,MATCH(I35,Items!$H$2:$H$500,0)))</f>
        <v>1150</v>
      </c>
      <c r="L35" s="24">
        <f t="shared" si="1"/>
        <v>18663.3</v>
      </c>
      <c r="M35" s="28">
        <f t="shared" si="2"/>
        <v>18</v>
      </c>
      <c r="N35" s="31">
        <f t="shared" si="3"/>
        <v>9.839130434782617E-2</v>
      </c>
      <c r="O35" s="24">
        <f>IF(J35="UNKNOWN","",INDEX(Cost_Rollup!$F$5:$F$16,MATCH(I35,Cost_Rollup!$A$5:$A$16,0)))</f>
        <v>750.43372656869997</v>
      </c>
      <c r="P35" s="24">
        <f t="shared" si="4"/>
        <v>13507.807078236599</v>
      </c>
      <c r="Q35" s="15" t="str">
        <f t="shared" si="5"/>
        <v/>
      </c>
      <c r="R35" s="15" t="str">
        <f t="shared" si="6"/>
        <v>OK</v>
      </c>
    </row>
    <row r="36" spans="1:18" x14ac:dyDescent="0.3">
      <c r="A36" s="12" t="s">
        <v>306</v>
      </c>
      <c r="B36" s="30">
        <v>45720</v>
      </c>
      <c r="C36" s="12" t="s">
        <v>292</v>
      </c>
      <c r="D36" s="12" t="s">
        <v>277</v>
      </c>
      <c r="E36" s="12" t="s">
        <v>70</v>
      </c>
      <c r="F36" s="12" t="s">
        <v>129</v>
      </c>
      <c r="G36" s="23">
        <v>12</v>
      </c>
      <c r="H36" s="22">
        <v>2153.92</v>
      </c>
      <c r="I36" s="15" t="str">
        <f t="shared" si="0"/>
        <v>PC-BAR-SS60</v>
      </c>
      <c r="J36" s="15" t="str">
        <f>IFERROR(INDEX(Items!$C$2:$C$500,MATCH(I36,Items!$H$2:$H$500,0)),"UNKNOWN")</f>
        <v>Barrier</v>
      </c>
      <c r="K36" s="24">
        <f>IF(J36="UNKNOWN","",INDEX(Items!$F$2:$F$500,MATCH(I36,Items!$H$2:$H$500,0)))</f>
        <v>2350</v>
      </c>
      <c r="L36" s="24">
        <f t="shared" si="1"/>
        <v>25847.040000000001</v>
      </c>
      <c r="M36" s="28">
        <f t="shared" si="2"/>
        <v>12</v>
      </c>
      <c r="N36" s="31">
        <f t="shared" si="3"/>
        <v>8.3438297872340361E-2</v>
      </c>
      <c r="O36" s="24">
        <f>IF(J36="UNKNOWN","",INDEX(Cost_Rollup!$F$5:$F$16,MATCH(I36,Cost_Rollup!$A$5:$A$16,0)))</f>
        <v>1583.5454</v>
      </c>
      <c r="P36" s="24">
        <f t="shared" si="4"/>
        <v>19002.5448</v>
      </c>
      <c r="Q36" s="15" t="str">
        <f t="shared" si="5"/>
        <v/>
      </c>
      <c r="R36" s="15" t="str">
        <f t="shared" si="6"/>
        <v>OK</v>
      </c>
    </row>
    <row r="37" spans="1:18" x14ac:dyDescent="0.3">
      <c r="A37" s="12" t="s">
        <v>307</v>
      </c>
      <c r="B37" s="30">
        <v>45722</v>
      </c>
      <c r="C37" s="12" t="s">
        <v>276</v>
      </c>
      <c r="D37" s="12" t="s">
        <v>277</v>
      </c>
      <c r="E37" s="12" t="s">
        <v>70</v>
      </c>
      <c r="F37" s="12" t="s">
        <v>131</v>
      </c>
      <c r="G37" s="23">
        <v>400</v>
      </c>
      <c r="H37" s="22">
        <v>116.83</v>
      </c>
      <c r="I37" s="15" t="str">
        <f t="shared" si="0"/>
        <v>PC-HC-200</v>
      </c>
      <c r="J37" s="15" t="str">
        <f>IFERROR(INDEX(Items!$C$2:$C$500,MATCH(I37,Items!$H$2:$H$500,0)),"UNKNOWN")</f>
        <v>Slab</v>
      </c>
      <c r="K37" s="24">
        <f>IF(J37="UNKNOWN","",INDEX(Items!$F$2:$F$500,MATCH(I37,Items!$H$2:$H$500,0)))</f>
        <v>118</v>
      </c>
      <c r="L37" s="24">
        <f t="shared" si="1"/>
        <v>46732</v>
      </c>
      <c r="M37" s="28">
        <f t="shared" si="2"/>
        <v>400</v>
      </c>
      <c r="N37" s="31">
        <f t="shared" si="3"/>
        <v>9.9152542372881181E-3</v>
      </c>
      <c r="O37" s="24">
        <f>IF(J37="UNKNOWN","",INDEX(Cost_Rollup!$F$5:$F$16,MATCH(I37,Cost_Rollup!$A$5:$A$16,0)))</f>
        <v>78.893820000000005</v>
      </c>
      <c r="P37" s="24">
        <f t="shared" si="4"/>
        <v>31557.528000000002</v>
      </c>
      <c r="Q37" s="15" t="str">
        <f t="shared" si="5"/>
        <v/>
      </c>
      <c r="R37" s="15" t="str">
        <f t="shared" si="6"/>
        <v>OK</v>
      </c>
    </row>
    <row r="38" spans="1:18" x14ac:dyDescent="0.3">
      <c r="A38" s="12" t="s">
        <v>308</v>
      </c>
      <c r="B38" s="30">
        <v>45723</v>
      </c>
      <c r="C38" s="12" t="s">
        <v>257</v>
      </c>
      <c r="D38" s="12" t="s">
        <v>258</v>
      </c>
      <c r="E38" s="12" t="s">
        <v>70</v>
      </c>
      <c r="F38" s="12" t="s">
        <v>125</v>
      </c>
      <c r="G38" s="23">
        <v>37</v>
      </c>
      <c r="H38" s="22">
        <v>1436.38</v>
      </c>
      <c r="I38" s="15" t="str">
        <f t="shared" si="0"/>
        <v>PC-BAR-F38</v>
      </c>
      <c r="J38" s="15" t="str">
        <f>IFERROR(INDEX(Items!$C$2:$C$500,MATCH(I38,Items!$H$2:$H$500,0)),"UNKNOWN")</f>
        <v>Barrier</v>
      </c>
      <c r="K38" s="24">
        <f>IF(J38="UNKNOWN","",INDEX(Items!$F$2:$F$500,MATCH(I38,Items!$H$2:$H$500,0)))</f>
        <v>1450</v>
      </c>
      <c r="L38" s="24">
        <f t="shared" si="1"/>
        <v>53146.060000000005</v>
      </c>
      <c r="M38" s="28">
        <f t="shared" si="2"/>
        <v>37</v>
      </c>
      <c r="N38" s="31">
        <f t="shared" si="3"/>
        <v>9.3931034482758191E-3</v>
      </c>
      <c r="O38" s="24">
        <f>IF(J38="UNKNOWN","",INDEX(Cost_Rollup!$F$5:$F$16,MATCH(I38,Cost_Rollup!$A$5:$A$16,0)))</f>
        <v>978.66327999999999</v>
      </c>
      <c r="P38" s="24">
        <f t="shared" si="4"/>
        <v>36210.541360000003</v>
      </c>
      <c r="Q38" s="15" t="str">
        <f t="shared" si="5"/>
        <v/>
      </c>
      <c r="R38" s="15" t="str">
        <f t="shared" si="6"/>
        <v>OK</v>
      </c>
    </row>
    <row r="39" spans="1:18" x14ac:dyDescent="0.3">
      <c r="A39" s="12" t="s">
        <v>309</v>
      </c>
      <c r="B39" s="30">
        <v>45724</v>
      </c>
      <c r="C39" s="12" t="s">
        <v>257</v>
      </c>
      <c r="D39" s="12" t="s">
        <v>258</v>
      </c>
      <c r="E39" s="12" t="s">
        <v>70</v>
      </c>
      <c r="F39" s="12" t="s">
        <v>125</v>
      </c>
      <c r="G39" s="23">
        <v>21</v>
      </c>
      <c r="H39" s="22">
        <v>1383.98</v>
      </c>
      <c r="I39" s="15" t="str">
        <f t="shared" si="0"/>
        <v>PC-BAR-F38</v>
      </c>
      <c r="J39" s="15" t="str">
        <f>IFERROR(INDEX(Items!$C$2:$C$500,MATCH(I39,Items!$H$2:$H$500,0)),"UNKNOWN")</f>
        <v>Barrier</v>
      </c>
      <c r="K39" s="24">
        <f>IF(J39="UNKNOWN","",INDEX(Items!$F$2:$F$500,MATCH(I39,Items!$H$2:$H$500,0)))</f>
        <v>1450</v>
      </c>
      <c r="L39" s="24">
        <f t="shared" si="1"/>
        <v>29063.58</v>
      </c>
      <c r="M39" s="28">
        <f t="shared" si="2"/>
        <v>21</v>
      </c>
      <c r="N39" s="31">
        <f t="shared" si="3"/>
        <v>4.5531034482758637E-2</v>
      </c>
      <c r="O39" s="24">
        <f>IF(J39="UNKNOWN","",INDEX(Cost_Rollup!$F$5:$F$16,MATCH(I39,Cost_Rollup!$A$5:$A$16,0)))</f>
        <v>978.66327999999999</v>
      </c>
      <c r="P39" s="24">
        <f t="shared" si="4"/>
        <v>20551.928879999999</v>
      </c>
      <c r="Q39" s="15" t="str">
        <f t="shared" si="5"/>
        <v/>
      </c>
      <c r="R39" s="15" t="str">
        <f t="shared" si="6"/>
        <v>OK</v>
      </c>
    </row>
    <row r="40" spans="1:18" x14ac:dyDescent="0.3">
      <c r="A40" s="12" t="s">
        <v>310</v>
      </c>
      <c r="B40" s="30">
        <v>45727</v>
      </c>
      <c r="C40" s="12" t="s">
        <v>276</v>
      </c>
      <c r="D40" s="12" t="s">
        <v>277</v>
      </c>
      <c r="E40" s="12" t="s">
        <v>70</v>
      </c>
      <c r="F40" s="12" t="s">
        <v>118</v>
      </c>
      <c r="G40" s="23">
        <v>5</v>
      </c>
      <c r="H40" s="22">
        <v>1121</v>
      </c>
      <c r="I40" s="15" t="str">
        <f t="shared" si="0"/>
        <v>PC-MH-1200B</v>
      </c>
      <c r="J40" s="15" t="str">
        <f>IFERROR(INDEX(Items!$C$2:$C$500,MATCH(I40,Items!$H$2:$H$500,0)),"UNKNOWN")</f>
        <v>Manhole</v>
      </c>
      <c r="K40" s="24">
        <f>IF(J40="UNKNOWN","",INDEX(Items!$F$2:$F$500,MATCH(I40,Items!$H$2:$H$500,0)))</f>
        <v>1240</v>
      </c>
      <c r="L40" s="24">
        <f t="shared" si="1"/>
        <v>5605</v>
      </c>
      <c r="M40" s="28">
        <f t="shared" si="2"/>
        <v>5</v>
      </c>
      <c r="N40" s="31">
        <f t="shared" si="3"/>
        <v>9.5967741935483852E-2</v>
      </c>
      <c r="O40" s="24">
        <f>IF(J40="UNKNOWN","",INDEX(Cost_Rollup!$F$5:$F$16,MATCH(I40,Cost_Rollup!$A$5:$A$16,0)))</f>
        <v>753.42079999999999</v>
      </c>
      <c r="P40" s="24">
        <f t="shared" si="4"/>
        <v>3767.1039999999998</v>
      </c>
      <c r="Q40" s="15" t="str">
        <f t="shared" si="5"/>
        <v/>
      </c>
      <c r="R40" s="15" t="str">
        <f t="shared" si="6"/>
        <v>OK</v>
      </c>
    </row>
    <row r="41" spans="1:18" x14ac:dyDescent="0.3">
      <c r="A41" s="12" t="s">
        <v>311</v>
      </c>
      <c r="B41" s="30">
        <v>45732</v>
      </c>
      <c r="C41" s="12" t="s">
        <v>276</v>
      </c>
      <c r="D41" s="12" t="s">
        <v>277</v>
      </c>
      <c r="E41" s="12" t="s">
        <v>70</v>
      </c>
      <c r="F41" s="12" t="s">
        <v>112</v>
      </c>
      <c r="G41" s="23">
        <v>9</v>
      </c>
      <c r="H41" s="22">
        <v>4125.71</v>
      </c>
      <c r="I41" s="15" t="str">
        <f t="shared" si="0"/>
        <v>PC-BOX-1812</v>
      </c>
      <c r="J41" s="15" t="str">
        <f>IFERROR(INDEX(Items!$C$2:$C$500,MATCH(I41,Items!$H$2:$H$500,0)),"UNKNOWN")</f>
        <v>Box Culvert</v>
      </c>
      <c r="K41" s="24">
        <f>IF(J41="UNKNOWN","",INDEX(Items!$F$2:$F$500,MATCH(I41,Items!$H$2:$H$500,0)))</f>
        <v>4200</v>
      </c>
      <c r="L41" s="24">
        <f t="shared" si="1"/>
        <v>37131.39</v>
      </c>
      <c r="M41" s="28">
        <f t="shared" si="2"/>
        <v>9</v>
      </c>
      <c r="N41" s="31">
        <f t="shared" si="3"/>
        <v>1.7688095238095225E-2</v>
      </c>
      <c r="O41" s="24">
        <f>IF(J41="UNKNOWN","",INDEX(Cost_Rollup!$F$5:$F$16,MATCH(I41,Cost_Rollup!$A$5:$A$16,0)))</f>
        <v>2795.3624</v>
      </c>
      <c r="P41" s="24">
        <f t="shared" si="4"/>
        <v>25158.261599999998</v>
      </c>
      <c r="Q41" s="15" t="str">
        <f t="shared" si="5"/>
        <v/>
      </c>
      <c r="R41" s="15" t="str">
        <f t="shared" si="6"/>
        <v>OK</v>
      </c>
    </row>
    <row r="42" spans="1:18" x14ac:dyDescent="0.3">
      <c r="A42" s="12" t="s">
        <v>312</v>
      </c>
      <c r="B42" s="30">
        <v>45734</v>
      </c>
      <c r="C42" s="12" t="s">
        <v>268</v>
      </c>
      <c r="D42" s="12" t="s">
        <v>269</v>
      </c>
      <c r="E42" s="12" t="s">
        <v>70</v>
      </c>
      <c r="F42" s="12" t="s">
        <v>112</v>
      </c>
      <c r="G42" s="23">
        <v>10</v>
      </c>
      <c r="H42" s="22">
        <v>3964.56</v>
      </c>
      <c r="I42" s="15" t="str">
        <f t="shared" si="0"/>
        <v>PC-BOX-1812</v>
      </c>
      <c r="J42" s="15" t="str">
        <f>IFERROR(INDEX(Items!$C$2:$C$500,MATCH(I42,Items!$H$2:$H$500,0)),"UNKNOWN")</f>
        <v>Box Culvert</v>
      </c>
      <c r="K42" s="24">
        <f>IF(J42="UNKNOWN","",INDEX(Items!$F$2:$F$500,MATCH(I42,Items!$H$2:$H$500,0)))</f>
        <v>4200</v>
      </c>
      <c r="L42" s="24">
        <f t="shared" si="1"/>
        <v>39645.599999999999</v>
      </c>
      <c r="M42" s="28">
        <f t="shared" si="2"/>
        <v>10</v>
      </c>
      <c r="N42" s="31">
        <f t="shared" si="3"/>
        <v>5.6057142857142916E-2</v>
      </c>
      <c r="O42" s="24">
        <f>IF(J42="UNKNOWN","",INDEX(Cost_Rollup!$F$5:$F$16,MATCH(I42,Cost_Rollup!$A$5:$A$16,0)))</f>
        <v>2795.3624</v>
      </c>
      <c r="P42" s="24">
        <f t="shared" si="4"/>
        <v>27953.624</v>
      </c>
      <c r="Q42" s="15" t="str">
        <f t="shared" si="5"/>
        <v/>
      </c>
      <c r="R42" s="15" t="str">
        <f t="shared" si="6"/>
        <v>OK</v>
      </c>
    </row>
    <row r="43" spans="1:18" x14ac:dyDescent="0.3">
      <c r="A43" s="12" t="s">
        <v>313</v>
      </c>
      <c r="B43" s="30">
        <v>45735</v>
      </c>
      <c r="C43" s="12" t="s">
        <v>279</v>
      </c>
      <c r="D43" s="12" t="s">
        <v>280</v>
      </c>
      <c r="E43" s="12" t="s">
        <v>147</v>
      </c>
      <c r="F43" s="12" t="s">
        <v>112</v>
      </c>
      <c r="G43" s="23">
        <v>3</v>
      </c>
      <c r="H43" s="22">
        <v>4148.4799999999996</v>
      </c>
      <c r="I43" s="15" t="str">
        <f t="shared" si="0"/>
        <v>PC-BOX-1812</v>
      </c>
      <c r="J43" s="15" t="str">
        <f>IFERROR(INDEX(Items!$C$2:$C$500,MATCH(I43,Items!$H$2:$H$500,0)),"UNKNOWN")</f>
        <v>Box Culvert</v>
      </c>
      <c r="K43" s="24">
        <f>IF(J43="UNKNOWN","",INDEX(Items!$F$2:$F$500,MATCH(I43,Items!$H$2:$H$500,0)))</f>
        <v>4200</v>
      </c>
      <c r="L43" s="24">
        <f t="shared" si="1"/>
        <v>12445.439999999999</v>
      </c>
      <c r="M43" s="28">
        <f t="shared" si="2"/>
        <v>3</v>
      </c>
      <c r="N43" s="31">
        <f t="shared" si="3"/>
        <v>1.2266666666666759E-2</v>
      </c>
      <c r="O43" s="24">
        <f>IF(J43="UNKNOWN","",INDEX(Cost_Rollup!$F$5:$F$16,MATCH(I43,Cost_Rollup!$A$5:$A$16,0)))</f>
        <v>2795.3624</v>
      </c>
      <c r="P43" s="24">
        <f t="shared" si="4"/>
        <v>8386.0871999999999</v>
      </c>
      <c r="Q43" s="15" t="str">
        <f t="shared" si="5"/>
        <v/>
      </c>
      <c r="R43" s="15" t="str">
        <f t="shared" si="6"/>
        <v>OK</v>
      </c>
    </row>
    <row r="44" spans="1:18" x14ac:dyDescent="0.3">
      <c r="A44" s="12" t="s">
        <v>314</v>
      </c>
      <c r="B44" s="30">
        <v>45737</v>
      </c>
      <c r="C44" s="12" t="s">
        <v>268</v>
      </c>
      <c r="D44" s="12" t="s">
        <v>269</v>
      </c>
      <c r="E44" s="12" t="s">
        <v>70</v>
      </c>
      <c r="F44" s="12" t="s">
        <v>115</v>
      </c>
      <c r="G44" s="23">
        <v>6</v>
      </c>
      <c r="H44" s="22">
        <v>936.65</v>
      </c>
      <c r="I44" s="15" t="str">
        <f t="shared" si="0"/>
        <v>PC-MH-1050B</v>
      </c>
      <c r="J44" s="15" t="str">
        <f>IFERROR(INDEX(Items!$C$2:$C$500,MATCH(I44,Items!$H$2:$H$500,0)),"UNKNOWN")</f>
        <v>Manhole</v>
      </c>
      <c r="K44" s="24">
        <f>IF(J44="UNKNOWN","",INDEX(Items!$F$2:$F$500,MATCH(I44,Items!$H$2:$H$500,0)))</f>
        <v>980</v>
      </c>
      <c r="L44" s="24">
        <f t="shared" si="1"/>
        <v>5619.9</v>
      </c>
      <c r="M44" s="28">
        <f t="shared" si="2"/>
        <v>6</v>
      </c>
      <c r="N44" s="31">
        <f t="shared" si="3"/>
        <v>4.4234693877551079E-2</v>
      </c>
      <c r="O44" s="24">
        <f>IF(J44="UNKNOWN","",INDEX(Cost_Rollup!$F$5:$F$16,MATCH(I44,Cost_Rollup!$A$5:$A$16,0)))</f>
        <v>635.43299999999999</v>
      </c>
      <c r="P44" s="24">
        <f t="shared" si="4"/>
        <v>3812.598</v>
      </c>
      <c r="Q44" s="15" t="str">
        <f t="shared" si="5"/>
        <v/>
      </c>
      <c r="R44" s="15" t="str">
        <f t="shared" si="6"/>
        <v>OK</v>
      </c>
    </row>
    <row r="45" spans="1:18" x14ac:dyDescent="0.3">
      <c r="A45" s="12" t="s">
        <v>315</v>
      </c>
      <c r="B45" s="30">
        <v>45740</v>
      </c>
      <c r="C45" s="12" t="s">
        <v>279</v>
      </c>
      <c r="D45" s="12" t="s">
        <v>280</v>
      </c>
      <c r="E45" s="12" t="s">
        <v>147</v>
      </c>
      <c r="F45" s="12" t="s">
        <v>131</v>
      </c>
      <c r="G45" s="23">
        <v>251</v>
      </c>
      <c r="H45" s="22">
        <v>107.84</v>
      </c>
      <c r="I45" s="15" t="str">
        <f t="shared" si="0"/>
        <v>PC-HC-200</v>
      </c>
      <c r="J45" s="15" t="str">
        <f>IFERROR(INDEX(Items!$C$2:$C$500,MATCH(I45,Items!$H$2:$H$500,0)),"UNKNOWN")</f>
        <v>Slab</v>
      </c>
      <c r="K45" s="24">
        <f>IF(J45="UNKNOWN","",INDEX(Items!$F$2:$F$500,MATCH(I45,Items!$H$2:$H$500,0)))</f>
        <v>118</v>
      </c>
      <c r="L45" s="24">
        <f t="shared" si="1"/>
        <v>27067.84</v>
      </c>
      <c r="M45" s="28">
        <f t="shared" si="2"/>
        <v>251</v>
      </c>
      <c r="N45" s="31">
        <f t="shared" si="3"/>
        <v>8.6101694915254212E-2</v>
      </c>
      <c r="O45" s="24">
        <f>IF(J45="UNKNOWN","",INDEX(Cost_Rollup!$F$5:$F$16,MATCH(I45,Cost_Rollup!$A$5:$A$16,0)))</f>
        <v>78.893820000000005</v>
      </c>
      <c r="P45" s="24">
        <f t="shared" si="4"/>
        <v>19802.348820000003</v>
      </c>
      <c r="Q45" s="15" t="str">
        <f t="shared" si="5"/>
        <v/>
      </c>
      <c r="R45" s="15" t="str">
        <f t="shared" si="6"/>
        <v>OK</v>
      </c>
    </row>
    <row r="46" spans="1:18" x14ac:dyDescent="0.3">
      <c r="A46" s="12" t="s">
        <v>316</v>
      </c>
      <c r="B46" s="30">
        <v>45741</v>
      </c>
      <c r="C46" s="12" t="s">
        <v>292</v>
      </c>
      <c r="D46" s="12" t="s">
        <v>277</v>
      </c>
      <c r="E46" s="12" t="s">
        <v>70</v>
      </c>
      <c r="F46" s="12" t="s">
        <v>110</v>
      </c>
      <c r="G46" s="23">
        <v>29</v>
      </c>
      <c r="H46" s="22">
        <v>1916.88</v>
      </c>
      <c r="I46" s="15" t="str">
        <f t="shared" si="0"/>
        <v>PC-RCP-1200</v>
      </c>
      <c r="J46" s="15" t="str">
        <f>IFERROR(INDEX(Items!$C$2:$C$500,MATCH(I46,Items!$H$2:$H$500,0)),"UNKNOWN")</f>
        <v>Pipe</v>
      </c>
      <c r="K46" s="24">
        <f>IF(J46="UNKNOWN","",INDEX(Items!$F$2:$F$500,MATCH(I46,Items!$H$2:$H$500,0)))</f>
        <v>1890</v>
      </c>
      <c r="L46" s="24">
        <f t="shared" si="1"/>
        <v>55589.520000000004</v>
      </c>
      <c r="M46" s="28">
        <f t="shared" si="2"/>
        <v>29</v>
      </c>
      <c r="N46" s="31">
        <f t="shared" si="3"/>
        <v>-1.4222222222222358E-2</v>
      </c>
      <c r="O46" s="24">
        <f>IF(J46="UNKNOWN","",INDEX(Cost_Rollup!$F$5:$F$16,MATCH(I46,Cost_Rollup!$A$5:$A$16,0)))</f>
        <v>1206.4054000000001</v>
      </c>
      <c r="P46" s="24">
        <f t="shared" si="4"/>
        <v>34985.756600000001</v>
      </c>
      <c r="Q46" s="15" t="str">
        <f t="shared" si="5"/>
        <v/>
      </c>
      <c r="R46" s="15" t="str">
        <f t="shared" si="6"/>
        <v>OK</v>
      </c>
    </row>
    <row r="47" spans="1:18" x14ac:dyDescent="0.3">
      <c r="A47" s="12" t="s">
        <v>317</v>
      </c>
      <c r="B47" s="30">
        <v>45741</v>
      </c>
      <c r="C47" s="12" t="s">
        <v>257</v>
      </c>
      <c r="D47" s="12" t="s">
        <v>258</v>
      </c>
      <c r="E47" s="12" t="s">
        <v>70</v>
      </c>
      <c r="F47" s="12" t="s">
        <v>110</v>
      </c>
      <c r="G47" s="23">
        <v>4</v>
      </c>
      <c r="H47" s="22">
        <v>1728.82</v>
      </c>
      <c r="I47" s="15" t="str">
        <f t="shared" si="0"/>
        <v>PC-RCP-1200</v>
      </c>
      <c r="J47" s="15" t="str">
        <f>IFERROR(INDEX(Items!$C$2:$C$500,MATCH(I47,Items!$H$2:$H$500,0)),"UNKNOWN")</f>
        <v>Pipe</v>
      </c>
      <c r="K47" s="24">
        <f>IF(J47="UNKNOWN","",INDEX(Items!$F$2:$F$500,MATCH(I47,Items!$H$2:$H$500,0)))</f>
        <v>1890</v>
      </c>
      <c r="L47" s="24">
        <f t="shared" si="1"/>
        <v>6915.28</v>
      </c>
      <c r="M47" s="28">
        <f t="shared" si="2"/>
        <v>4</v>
      </c>
      <c r="N47" s="31">
        <f t="shared" si="3"/>
        <v>8.528042328042329E-2</v>
      </c>
      <c r="O47" s="24">
        <f>IF(J47="UNKNOWN","",INDEX(Cost_Rollup!$F$5:$F$16,MATCH(I47,Cost_Rollup!$A$5:$A$16,0)))</f>
        <v>1206.4054000000001</v>
      </c>
      <c r="P47" s="24">
        <f t="shared" si="4"/>
        <v>4825.6216000000004</v>
      </c>
      <c r="Q47" s="15" t="str">
        <f t="shared" si="5"/>
        <v/>
      </c>
      <c r="R47" s="15" t="str">
        <f t="shared" si="6"/>
        <v>OK</v>
      </c>
    </row>
    <row r="48" spans="1:18" x14ac:dyDescent="0.3">
      <c r="A48" s="12" t="s">
        <v>318</v>
      </c>
      <c r="B48" s="30">
        <v>45744</v>
      </c>
      <c r="C48" s="12" t="s">
        <v>292</v>
      </c>
      <c r="D48" s="12" t="s">
        <v>277</v>
      </c>
      <c r="E48" s="12" t="s">
        <v>70</v>
      </c>
      <c r="F48" s="12" t="s">
        <v>129</v>
      </c>
      <c r="G48" s="23">
        <v>24</v>
      </c>
      <c r="H48" s="22">
        <v>2282.0300000000002</v>
      </c>
      <c r="I48" s="15" t="str">
        <f t="shared" si="0"/>
        <v>PC-BAR-SS60</v>
      </c>
      <c r="J48" s="15" t="str">
        <f>IFERROR(INDEX(Items!$C$2:$C$500,MATCH(I48,Items!$H$2:$H$500,0)),"UNKNOWN")</f>
        <v>Barrier</v>
      </c>
      <c r="K48" s="24">
        <f>IF(J48="UNKNOWN","",INDEX(Items!$F$2:$F$500,MATCH(I48,Items!$H$2:$H$500,0)))</f>
        <v>2350</v>
      </c>
      <c r="L48" s="24">
        <f t="shared" si="1"/>
        <v>54768.72</v>
      </c>
      <c r="M48" s="28">
        <f t="shared" si="2"/>
        <v>24</v>
      </c>
      <c r="N48" s="31">
        <f t="shared" si="3"/>
        <v>2.892340425531903E-2</v>
      </c>
      <c r="O48" s="24">
        <f>IF(J48="UNKNOWN","",INDEX(Cost_Rollup!$F$5:$F$16,MATCH(I48,Cost_Rollup!$A$5:$A$16,0)))</f>
        <v>1583.5454</v>
      </c>
      <c r="P48" s="24">
        <f t="shared" si="4"/>
        <v>38005.089599999999</v>
      </c>
      <c r="Q48" s="15" t="str">
        <f t="shared" si="5"/>
        <v/>
      </c>
      <c r="R48" s="15" t="str">
        <f t="shared" si="6"/>
        <v>OK</v>
      </c>
    </row>
    <row r="49" spans="1:18" x14ac:dyDescent="0.3">
      <c r="A49" s="12" t="s">
        <v>319</v>
      </c>
      <c r="B49" s="30">
        <v>45744</v>
      </c>
      <c r="C49" s="12" t="s">
        <v>276</v>
      </c>
      <c r="D49" s="12" t="s">
        <v>277</v>
      </c>
      <c r="E49" s="12" t="s">
        <v>70</v>
      </c>
      <c r="F49" s="12" t="s">
        <v>120</v>
      </c>
      <c r="G49" s="23">
        <v>7</v>
      </c>
      <c r="H49" s="22">
        <v>501.44</v>
      </c>
      <c r="I49" s="15" t="str">
        <f t="shared" si="0"/>
        <v>PC-MH-1200R</v>
      </c>
      <c r="J49" s="15" t="str">
        <f>IFERROR(INDEX(Items!$C$2:$C$500,MATCH(I49,Items!$H$2:$H$500,0)),"UNKNOWN")</f>
        <v>Manhole</v>
      </c>
      <c r="K49" s="24">
        <f>IF(J49="UNKNOWN","",INDEX(Items!$F$2:$F$500,MATCH(I49,Items!$H$2:$H$500,0)))</f>
        <v>520</v>
      </c>
      <c r="L49" s="24">
        <f t="shared" si="1"/>
        <v>3510.08</v>
      </c>
      <c r="M49" s="28">
        <f t="shared" si="2"/>
        <v>7</v>
      </c>
      <c r="N49" s="31">
        <f t="shared" si="3"/>
        <v>3.569230769230769E-2</v>
      </c>
      <c r="O49" s="24">
        <f>IF(J49="UNKNOWN","",INDEX(Cost_Rollup!$F$5:$F$16,MATCH(I49,Cost_Rollup!$A$5:$A$16,0)))</f>
        <v>381.98428000000001</v>
      </c>
      <c r="P49" s="24">
        <f t="shared" si="4"/>
        <v>2673.88996</v>
      </c>
      <c r="Q49" s="15" t="str">
        <f t="shared" si="5"/>
        <v/>
      </c>
      <c r="R49" s="15" t="str">
        <f t="shared" si="6"/>
        <v>OK</v>
      </c>
    </row>
    <row r="50" spans="1:18" x14ac:dyDescent="0.3">
      <c r="A50" s="12" t="s">
        <v>320</v>
      </c>
      <c r="B50" s="30">
        <v>45748</v>
      </c>
      <c r="C50" s="12" t="s">
        <v>263</v>
      </c>
      <c r="D50" s="12" t="s">
        <v>258</v>
      </c>
      <c r="E50" s="12" t="s">
        <v>70</v>
      </c>
      <c r="F50" s="12" t="s">
        <v>112</v>
      </c>
      <c r="G50" s="23">
        <v>10</v>
      </c>
      <c r="H50" s="22">
        <v>3848.03</v>
      </c>
      <c r="I50" s="15" t="str">
        <f t="shared" si="0"/>
        <v>PC-BOX-1812</v>
      </c>
      <c r="J50" s="15" t="str">
        <f>IFERROR(INDEX(Items!$C$2:$C$500,MATCH(I50,Items!$H$2:$H$500,0)),"UNKNOWN")</f>
        <v>Box Culvert</v>
      </c>
      <c r="K50" s="24">
        <f>IF(J50="UNKNOWN","",INDEX(Items!$F$2:$F$500,MATCH(I50,Items!$H$2:$H$500,0)))</f>
        <v>4200</v>
      </c>
      <c r="L50" s="24">
        <f t="shared" si="1"/>
        <v>38480.300000000003</v>
      </c>
      <c r="M50" s="28">
        <f t="shared" si="2"/>
        <v>10</v>
      </c>
      <c r="N50" s="31">
        <f t="shared" si="3"/>
        <v>8.3802380952380906E-2</v>
      </c>
      <c r="O50" s="24">
        <f>IF(J50="UNKNOWN","",INDEX(Cost_Rollup!$F$5:$F$16,MATCH(I50,Cost_Rollup!$A$5:$A$16,0)))</f>
        <v>2795.3624</v>
      </c>
      <c r="P50" s="24">
        <f t="shared" si="4"/>
        <v>27953.624</v>
      </c>
      <c r="Q50" s="15" t="str">
        <f t="shared" si="5"/>
        <v/>
      </c>
      <c r="R50" s="15" t="str">
        <f t="shared" si="6"/>
        <v>OK</v>
      </c>
    </row>
    <row r="51" spans="1:18" x14ac:dyDescent="0.3">
      <c r="A51" s="12" t="s">
        <v>321</v>
      </c>
      <c r="B51" s="30">
        <v>45749</v>
      </c>
      <c r="C51" s="12" t="s">
        <v>276</v>
      </c>
      <c r="D51" s="12" t="s">
        <v>277</v>
      </c>
      <c r="E51" s="12" t="s">
        <v>70</v>
      </c>
      <c r="F51" s="12" t="s">
        <v>115</v>
      </c>
      <c r="G51" s="23">
        <v>6</v>
      </c>
      <c r="H51" s="22">
        <v>893.6</v>
      </c>
      <c r="I51" s="15" t="str">
        <f t="shared" si="0"/>
        <v>PC-MH-1050B</v>
      </c>
      <c r="J51" s="15" t="str">
        <f>IFERROR(INDEX(Items!$C$2:$C$500,MATCH(I51,Items!$H$2:$H$500,0)),"UNKNOWN")</f>
        <v>Manhole</v>
      </c>
      <c r="K51" s="24">
        <f>IF(J51="UNKNOWN","",INDEX(Items!$F$2:$F$500,MATCH(I51,Items!$H$2:$H$500,0)))</f>
        <v>980</v>
      </c>
      <c r="L51" s="24">
        <f t="shared" si="1"/>
        <v>5361.6</v>
      </c>
      <c r="M51" s="28">
        <f t="shared" si="2"/>
        <v>6</v>
      </c>
      <c r="N51" s="31">
        <f t="shared" si="3"/>
        <v>8.8163265306122396E-2</v>
      </c>
      <c r="O51" s="24">
        <f>IF(J51="UNKNOWN","",INDEX(Cost_Rollup!$F$5:$F$16,MATCH(I51,Cost_Rollup!$A$5:$A$16,0)))</f>
        <v>635.43299999999999</v>
      </c>
      <c r="P51" s="24">
        <f t="shared" si="4"/>
        <v>3812.598</v>
      </c>
      <c r="Q51" s="15" t="str">
        <f t="shared" si="5"/>
        <v/>
      </c>
      <c r="R51" s="15" t="str">
        <f t="shared" si="6"/>
        <v>OK</v>
      </c>
    </row>
    <row r="52" spans="1:18" x14ac:dyDescent="0.3">
      <c r="A52" s="12" t="s">
        <v>322</v>
      </c>
      <c r="B52" s="30">
        <v>45749</v>
      </c>
      <c r="C52" s="12" t="s">
        <v>260</v>
      </c>
      <c r="D52" s="12" t="s">
        <v>258</v>
      </c>
      <c r="E52" s="12" t="s">
        <v>70</v>
      </c>
      <c r="F52" s="12" t="s">
        <v>129</v>
      </c>
      <c r="G52" s="23">
        <v>40</v>
      </c>
      <c r="H52" s="22">
        <v>2125.08</v>
      </c>
      <c r="I52" s="15" t="str">
        <f t="shared" si="0"/>
        <v>PC-BAR-SS60</v>
      </c>
      <c r="J52" s="15" t="str">
        <f>IFERROR(INDEX(Items!$C$2:$C$500,MATCH(I52,Items!$H$2:$H$500,0)),"UNKNOWN")</f>
        <v>Barrier</v>
      </c>
      <c r="K52" s="24">
        <f>IF(J52="UNKNOWN","",INDEX(Items!$F$2:$F$500,MATCH(I52,Items!$H$2:$H$500,0)))</f>
        <v>2350</v>
      </c>
      <c r="L52" s="24">
        <f t="shared" si="1"/>
        <v>85003.199999999997</v>
      </c>
      <c r="M52" s="28">
        <f t="shared" si="2"/>
        <v>40</v>
      </c>
      <c r="N52" s="31">
        <f t="shared" si="3"/>
        <v>9.5710638297872408E-2</v>
      </c>
      <c r="O52" s="24">
        <f>IF(J52="UNKNOWN","",INDEX(Cost_Rollup!$F$5:$F$16,MATCH(I52,Cost_Rollup!$A$5:$A$16,0)))</f>
        <v>1583.5454</v>
      </c>
      <c r="P52" s="24">
        <f t="shared" si="4"/>
        <v>63341.815999999999</v>
      </c>
      <c r="Q52" s="15" t="str">
        <f t="shared" si="5"/>
        <v/>
      </c>
      <c r="R52" s="15" t="str">
        <f t="shared" si="6"/>
        <v>OK</v>
      </c>
    </row>
    <row r="53" spans="1:18" x14ac:dyDescent="0.3">
      <c r="A53" s="12" t="s">
        <v>323</v>
      </c>
      <c r="B53" s="30">
        <v>45749</v>
      </c>
      <c r="C53" s="12" t="s">
        <v>263</v>
      </c>
      <c r="D53" s="12" t="s">
        <v>258</v>
      </c>
      <c r="E53" s="12" t="s">
        <v>70</v>
      </c>
      <c r="F53" s="12" t="s">
        <v>110</v>
      </c>
      <c r="G53" s="23">
        <v>23</v>
      </c>
      <c r="H53" s="22">
        <v>1861.45</v>
      </c>
      <c r="I53" s="15" t="str">
        <f t="shared" si="0"/>
        <v>PC-RCP-1200</v>
      </c>
      <c r="J53" s="15" t="str">
        <f>IFERROR(INDEX(Items!$C$2:$C$500,MATCH(I53,Items!$H$2:$H$500,0)),"UNKNOWN")</f>
        <v>Pipe</v>
      </c>
      <c r="K53" s="24">
        <f>IF(J53="UNKNOWN","",INDEX(Items!$F$2:$F$500,MATCH(I53,Items!$H$2:$H$500,0)))</f>
        <v>1890</v>
      </c>
      <c r="L53" s="24">
        <f t="shared" si="1"/>
        <v>42813.35</v>
      </c>
      <c r="M53" s="28">
        <f t="shared" si="2"/>
        <v>23</v>
      </c>
      <c r="N53" s="31">
        <f t="shared" si="3"/>
        <v>1.5105820105820067E-2</v>
      </c>
      <c r="O53" s="24">
        <f>IF(J53="UNKNOWN","",INDEX(Cost_Rollup!$F$5:$F$16,MATCH(I53,Cost_Rollup!$A$5:$A$16,0)))</f>
        <v>1206.4054000000001</v>
      </c>
      <c r="P53" s="24">
        <f t="shared" si="4"/>
        <v>27747.324200000003</v>
      </c>
      <c r="Q53" s="15" t="str">
        <f t="shared" si="5"/>
        <v/>
      </c>
      <c r="R53" s="15" t="str">
        <f t="shared" si="6"/>
        <v>OK</v>
      </c>
    </row>
    <row r="54" spans="1:18" x14ac:dyDescent="0.3">
      <c r="A54" s="12" t="s">
        <v>324</v>
      </c>
      <c r="B54" s="30">
        <v>45750</v>
      </c>
      <c r="C54" s="12" t="s">
        <v>265</v>
      </c>
      <c r="D54" s="12" t="s">
        <v>266</v>
      </c>
      <c r="E54" s="12" t="s">
        <v>70</v>
      </c>
      <c r="F54" s="12" t="s">
        <v>112</v>
      </c>
      <c r="G54" s="23">
        <v>9</v>
      </c>
      <c r="H54" s="22">
        <v>3905.08</v>
      </c>
      <c r="I54" s="15" t="str">
        <f t="shared" si="0"/>
        <v>PC-BOX-1812</v>
      </c>
      <c r="J54" s="15" t="str">
        <f>IFERROR(INDEX(Items!$C$2:$C$500,MATCH(I54,Items!$H$2:$H$500,0)),"UNKNOWN")</f>
        <v>Box Culvert</v>
      </c>
      <c r="K54" s="24">
        <f>IF(J54="UNKNOWN","",INDEX(Items!$F$2:$F$500,MATCH(I54,Items!$H$2:$H$500,0)))</f>
        <v>4200</v>
      </c>
      <c r="L54" s="24">
        <f t="shared" si="1"/>
        <v>35145.72</v>
      </c>
      <c r="M54" s="28">
        <f t="shared" si="2"/>
        <v>9</v>
      </c>
      <c r="N54" s="31">
        <f t="shared" si="3"/>
        <v>7.0219047619047625E-2</v>
      </c>
      <c r="O54" s="24">
        <f>IF(J54="UNKNOWN","",INDEX(Cost_Rollup!$F$5:$F$16,MATCH(I54,Cost_Rollup!$A$5:$A$16,0)))</f>
        <v>2795.3624</v>
      </c>
      <c r="P54" s="24">
        <f t="shared" si="4"/>
        <v>25158.261599999998</v>
      </c>
      <c r="Q54" s="15" t="str">
        <f t="shared" si="5"/>
        <v/>
      </c>
      <c r="R54" s="15" t="str">
        <f t="shared" si="6"/>
        <v>OK</v>
      </c>
    </row>
    <row r="55" spans="1:18" x14ac:dyDescent="0.3">
      <c r="A55" s="12" t="s">
        <v>325</v>
      </c>
      <c r="B55" s="30">
        <v>45752</v>
      </c>
      <c r="C55" s="12" t="s">
        <v>268</v>
      </c>
      <c r="D55" s="12" t="s">
        <v>269</v>
      </c>
      <c r="E55" s="12" t="s">
        <v>70</v>
      </c>
      <c r="F55" s="12" t="s">
        <v>125</v>
      </c>
      <c r="G55" s="23">
        <v>38</v>
      </c>
      <c r="H55" s="22">
        <v>1481.27</v>
      </c>
      <c r="I55" s="15" t="str">
        <f t="shared" si="0"/>
        <v>PC-BAR-F38</v>
      </c>
      <c r="J55" s="15" t="str">
        <f>IFERROR(INDEX(Items!$C$2:$C$500,MATCH(I55,Items!$H$2:$H$500,0)),"UNKNOWN")</f>
        <v>Barrier</v>
      </c>
      <c r="K55" s="24">
        <f>IF(J55="UNKNOWN","",INDEX(Items!$F$2:$F$500,MATCH(I55,Items!$H$2:$H$500,0)))</f>
        <v>1450</v>
      </c>
      <c r="L55" s="24">
        <f t="shared" si="1"/>
        <v>56288.26</v>
      </c>
      <c r="M55" s="28">
        <f t="shared" si="2"/>
        <v>38</v>
      </c>
      <c r="N55" s="31">
        <f t="shared" si="3"/>
        <v>-2.1565517241379339E-2</v>
      </c>
      <c r="O55" s="24">
        <f>IF(J55="UNKNOWN","",INDEX(Cost_Rollup!$F$5:$F$16,MATCH(I55,Cost_Rollup!$A$5:$A$16,0)))</f>
        <v>978.66327999999999</v>
      </c>
      <c r="P55" s="24">
        <f t="shared" si="4"/>
        <v>37189.204639999996</v>
      </c>
      <c r="Q55" s="15" t="str">
        <f t="shared" si="5"/>
        <v/>
      </c>
      <c r="R55" s="15" t="str">
        <f t="shared" si="6"/>
        <v>OK</v>
      </c>
    </row>
    <row r="56" spans="1:18" x14ac:dyDescent="0.3">
      <c r="A56" s="12" t="s">
        <v>326</v>
      </c>
      <c r="B56" s="30">
        <v>45752</v>
      </c>
      <c r="C56" s="12" t="s">
        <v>279</v>
      </c>
      <c r="D56" s="12" t="s">
        <v>280</v>
      </c>
      <c r="E56" s="12" t="s">
        <v>147</v>
      </c>
      <c r="F56" s="12" t="s">
        <v>129</v>
      </c>
      <c r="G56" s="23">
        <v>11</v>
      </c>
      <c r="H56" s="22">
        <v>2194.83</v>
      </c>
      <c r="I56" s="15" t="str">
        <f t="shared" si="0"/>
        <v>PC-BAR-SS60</v>
      </c>
      <c r="J56" s="15" t="str">
        <f>IFERROR(INDEX(Items!$C$2:$C$500,MATCH(I56,Items!$H$2:$H$500,0)),"UNKNOWN")</f>
        <v>Barrier</v>
      </c>
      <c r="K56" s="24">
        <f>IF(J56="UNKNOWN","",INDEX(Items!$F$2:$F$500,MATCH(I56,Items!$H$2:$H$500,0)))</f>
        <v>2350</v>
      </c>
      <c r="L56" s="24">
        <f t="shared" si="1"/>
        <v>24143.129999999997</v>
      </c>
      <c r="M56" s="28">
        <f t="shared" si="2"/>
        <v>11</v>
      </c>
      <c r="N56" s="31">
        <f t="shared" si="3"/>
        <v>6.6029787234042625E-2</v>
      </c>
      <c r="O56" s="24">
        <f>IF(J56="UNKNOWN","",INDEX(Cost_Rollup!$F$5:$F$16,MATCH(I56,Cost_Rollup!$A$5:$A$16,0)))</f>
        <v>1583.5454</v>
      </c>
      <c r="P56" s="24">
        <f t="shared" si="4"/>
        <v>17418.999400000001</v>
      </c>
      <c r="Q56" s="15" t="str">
        <f t="shared" si="5"/>
        <v/>
      </c>
      <c r="R56" s="15" t="str">
        <f t="shared" si="6"/>
        <v>OK</v>
      </c>
    </row>
    <row r="57" spans="1:18" x14ac:dyDescent="0.3">
      <c r="A57" s="12" t="s">
        <v>327</v>
      </c>
      <c r="B57" s="30">
        <v>45754</v>
      </c>
      <c r="C57" s="12" t="s">
        <v>257</v>
      </c>
      <c r="D57" s="12" t="s">
        <v>258</v>
      </c>
      <c r="E57" s="12" t="s">
        <v>70</v>
      </c>
      <c r="F57" s="12" t="s">
        <v>125</v>
      </c>
      <c r="G57" s="23">
        <v>14</v>
      </c>
      <c r="H57" s="22">
        <v>1338.28</v>
      </c>
      <c r="I57" s="15" t="str">
        <f t="shared" si="0"/>
        <v>PC-BAR-F38</v>
      </c>
      <c r="J57" s="15" t="str">
        <f>IFERROR(INDEX(Items!$C$2:$C$500,MATCH(I57,Items!$H$2:$H$500,0)),"UNKNOWN")</f>
        <v>Barrier</v>
      </c>
      <c r="K57" s="24">
        <f>IF(J57="UNKNOWN","",INDEX(Items!$F$2:$F$500,MATCH(I57,Items!$H$2:$H$500,0)))</f>
        <v>1450</v>
      </c>
      <c r="L57" s="24">
        <f t="shared" si="1"/>
        <v>18735.919999999998</v>
      </c>
      <c r="M57" s="28">
        <f t="shared" si="2"/>
        <v>14</v>
      </c>
      <c r="N57" s="31">
        <f t="shared" si="3"/>
        <v>7.7048275862068971E-2</v>
      </c>
      <c r="O57" s="24">
        <f>IF(J57="UNKNOWN","",INDEX(Cost_Rollup!$F$5:$F$16,MATCH(I57,Cost_Rollup!$A$5:$A$16,0)))</f>
        <v>978.66327999999999</v>
      </c>
      <c r="P57" s="24">
        <f t="shared" si="4"/>
        <v>13701.28592</v>
      </c>
      <c r="Q57" s="15" t="str">
        <f t="shared" si="5"/>
        <v/>
      </c>
      <c r="R57" s="15" t="str">
        <f t="shared" si="6"/>
        <v>OK</v>
      </c>
    </row>
    <row r="58" spans="1:18" x14ac:dyDescent="0.3">
      <c r="A58" s="12" t="s">
        <v>328</v>
      </c>
      <c r="B58" s="30">
        <v>45755</v>
      </c>
      <c r="C58" s="12" t="s">
        <v>260</v>
      </c>
      <c r="D58" s="12" t="s">
        <v>258</v>
      </c>
      <c r="E58" s="12" t="s">
        <v>70</v>
      </c>
      <c r="F58" s="12" t="s">
        <v>108</v>
      </c>
      <c r="G58" s="23">
        <v>15</v>
      </c>
      <c r="H58" s="22">
        <v>1073.1099999999999</v>
      </c>
      <c r="I58" s="15" t="str">
        <f t="shared" si="0"/>
        <v>PC-RCP-0900</v>
      </c>
      <c r="J58" s="15" t="str">
        <f>IFERROR(INDEX(Items!$C$2:$C$500,MATCH(I58,Items!$H$2:$H$500,0)),"UNKNOWN")</f>
        <v>Pipe</v>
      </c>
      <c r="K58" s="24">
        <f>IF(J58="UNKNOWN","",INDEX(Items!$F$2:$F$500,MATCH(I58,Items!$H$2:$H$500,0)))</f>
        <v>1150</v>
      </c>
      <c r="L58" s="24">
        <f t="shared" si="1"/>
        <v>16096.649999999998</v>
      </c>
      <c r="M58" s="28">
        <f t="shared" si="2"/>
        <v>15</v>
      </c>
      <c r="N58" s="31">
        <f t="shared" si="3"/>
        <v>6.6860869565217529E-2</v>
      </c>
      <c r="O58" s="24">
        <f>IF(J58="UNKNOWN","",INDEX(Cost_Rollup!$F$5:$F$16,MATCH(I58,Cost_Rollup!$A$5:$A$16,0)))</f>
        <v>750.43372656869997</v>
      </c>
      <c r="P58" s="24">
        <f t="shared" si="4"/>
        <v>11256.5058985305</v>
      </c>
      <c r="Q58" s="15" t="str">
        <f t="shared" si="5"/>
        <v/>
      </c>
      <c r="R58" s="15" t="str">
        <f t="shared" si="6"/>
        <v>OK</v>
      </c>
    </row>
    <row r="59" spans="1:18" x14ac:dyDescent="0.3">
      <c r="A59" s="12" t="s">
        <v>329</v>
      </c>
      <c r="B59" s="30">
        <v>45756</v>
      </c>
      <c r="C59" s="12" t="s">
        <v>276</v>
      </c>
      <c r="D59" s="12" t="s">
        <v>277</v>
      </c>
      <c r="E59" s="12" t="s">
        <v>70</v>
      </c>
      <c r="F59" s="12" t="s">
        <v>103</v>
      </c>
      <c r="G59" s="23">
        <v>25</v>
      </c>
      <c r="H59" s="22">
        <v>640.27</v>
      </c>
      <c r="I59" s="15" t="str">
        <f t="shared" si="0"/>
        <v>PC-RCP-0600</v>
      </c>
      <c r="J59" s="15" t="str">
        <f>IFERROR(INDEX(Items!$C$2:$C$500,MATCH(I59,Items!$H$2:$H$500,0)),"UNKNOWN")</f>
        <v>Pipe</v>
      </c>
      <c r="K59" s="24">
        <f>IF(J59="UNKNOWN","",INDEX(Items!$F$2:$F$500,MATCH(I59,Items!$H$2:$H$500,0)))</f>
        <v>640</v>
      </c>
      <c r="L59" s="24">
        <f t="shared" si="1"/>
        <v>16006.75</v>
      </c>
      <c r="M59" s="28">
        <f t="shared" si="2"/>
        <v>25</v>
      </c>
      <c r="N59" s="31">
        <f t="shared" si="3"/>
        <v>-4.2187500000001599E-4</v>
      </c>
      <c r="O59" s="24">
        <f>IF(J59="UNKNOWN","",INDEX(Cost_Rollup!$F$5:$F$16,MATCH(I59,Cost_Rollup!$A$5:$A$16,0)))</f>
        <v>429.94831999999997</v>
      </c>
      <c r="P59" s="24">
        <f t="shared" si="4"/>
        <v>10748.707999999999</v>
      </c>
      <c r="Q59" s="15" t="str">
        <f t="shared" si="5"/>
        <v/>
      </c>
      <c r="R59" s="15" t="str">
        <f t="shared" si="6"/>
        <v>OK</v>
      </c>
    </row>
    <row r="60" spans="1:18" x14ac:dyDescent="0.3">
      <c r="A60" s="12" t="s">
        <v>330</v>
      </c>
      <c r="B60" s="30">
        <v>45757</v>
      </c>
      <c r="C60" s="12" t="s">
        <v>279</v>
      </c>
      <c r="D60" s="12" t="s">
        <v>280</v>
      </c>
      <c r="E60" s="12" t="s">
        <v>147</v>
      </c>
      <c r="F60" s="12" t="s">
        <v>112</v>
      </c>
      <c r="G60" s="23">
        <v>3</v>
      </c>
      <c r="H60" s="22">
        <v>4125.96</v>
      </c>
      <c r="I60" s="15" t="str">
        <f t="shared" si="0"/>
        <v>PC-BOX-1812</v>
      </c>
      <c r="J60" s="15" t="str">
        <f>IFERROR(INDEX(Items!$C$2:$C$500,MATCH(I60,Items!$H$2:$H$500,0)),"UNKNOWN")</f>
        <v>Box Culvert</v>
      </c>
      <c r="K60" s="24">
        <f>IF(J60="UNKNOWN","",INDEX(Items!$F$2:$F$500,MATCH(I60,Items!$H$2:$H$500,0)))</f>
        <v>4200</v>
      </c>
      <c r="L60" s="24">
        <f t="shared" si="1"/>
        <v>12377.880000000001</v>
      </c>
      <c r="M60" s="28">
        <f t="shared" si="2"/>
        <v>3</v>
      </c>
      <c r="N60" s="31">
        <f t="shared" si="3"/>
        <v>1.7628571428571438E-2</v>
      </c>
      <c r="O60" s="24">
        <f>IF(J60="UNKNOWN","",INDEX(Cost_Rollup!$F$5:$F$16,MATCH(I60,Cost_Rollup!$A$5:$A$16,0)))</f>
        <v>2795.3624</v>
      </c>
      <c r="P60" s="24">
        <f t="shared" si="4"/>
        <v>8386.0871999999999</v>
      </c>
      <c r="Q60" s="15" t="str">
        <f t="shared" si="5"/>
        <v/>
      </c>
      <c r="R60" s="15" t="str">
        <f t="shared" si="6"/>
        <v>OK</v>
      </c>
    </row>
    <row r="61" spans="1:18" x14ac:dyDescent="0.3">
      <c r="A61" s="12" t="s">
        <v>331</v>
      </c>
      <c r="B61" s="30">
        <v>45759</v>
      </c>
      <c r="C61" s="12" t="s">
        <v>292</v>
      </c>
      <c r="D61" s="12" t="s">
        <v>277</v>
      </c>
      <c r="E61" s="12" t="s">
        <v>70</v>
      </c>
      <c r="F61" s="12" t="s">
        <v>131</v>
      </c>
      <c r="G61" s="23">
        <v>250</v>
      </c>
      <c r="H61" s="22">
        <v>108.74</v>
      </c>
      <c r="I61" s="15" t="str">
        <f t="shared" si="0"/>
        <v>PC-HC-200</v>
      </c>
      <c r="J61" s="15" t="str">
        <f>IFERROR(INDEX(Items!$C$2:$C$500,MATCH(I61,Items!$H$2:$H$500,0)),"UNKNOWN")</f>
        <v>Slab</v>
      </c>
      <c r="K61" s="24">
        <f>IF(J61="UNKNOWN","",INDEX(Items!$F$2:$F$500,MATCH(I61,Items!$H$2:$H$500,0)))</f>
        <v>118</v>
      </c>
      <c r="L61" s="24">
        <f t="shared" si="1"/>
        <v>27185</v>
      </c>
      <c r="M61" s="28">
        <f t="shared" si="2"/>
        <v>250</v>
      </c>
      <c r="N61" s="31">
        <f t="shared" si="3"/>
        <v>7.847457627118648E-2</v>
      </c>
      <c r="O61" s="24">
        <f>IF(J61="UNKNOWN","",INDEX(Cost_Rollup!$F$5:$F$16,MATCH(I61,Cost_Rollup!$A$5:$A$16,0)))</f>
        <v>78.893820000000005</v>
      </c>
      <c r="P61" s="24">
        <f t="shared" si="4"/>
        <v>19723.455000000002</v>
      </c>
      <c r="Q61" s="15" t="str">
        <f t="shared" si="5"/>
        <v/>
      </c>
      <c r="R61" s="15" t="str">
        <f t="shared" si="6"/>
        <v>OK</v>
      </c>
    </row>
    <row r="62" spans="1:18" x14ac:dyDescent="0.3">
      <c r="A62" s="12" t="s">
        <v>332</v>
      </c>
      <c r="B62" s="30">
        <v>45760</v>
      </c>
      <c r="C62" s="12" t="s">
        <v>260</v>
      </c>
      <c r="D62" s="12" t="s">
        <v>258</v>
      </c>
      <c r="E62" s="12" t="s">
        <v>70</v>
      </c>
      <c r="F62" s="12" t="s">
        <v>120</v>
      </c>
      <c r="G62" s="23">
        <v>7</v>
      </c>
      <c r="H62" s="22">
        <v>482.52</v>
      </c>
      <c r="I62" s="15" t="str">
        <f t="shared" si="0"/>
        <v>PC-MH-1200R</v>
      </c>
      <c r="J62" s="15" t="str">
        <f>IFERROR(INDEX(Items!$C$2:$C$500,MATCH(I62,Items!$H$2:$H$500,0)),"UNKNOWN")</f>
        <v>Manhole</v>
      </c>
      <c r="K62" s="24">
        <f>IF(J62="UNKNOWN","",INDEX(Items!$F$2:$F$500,MATCH(I62,Items!$H$2:$H$500,0)))</f>
        <v>520</v>
      </c>
      <c r="L62" s="24">
        <f t="shared" si="1"/>
        <v>3377.64</v>
      </c>
      <c r="M62" s="28">
        <f t="shared" si="2"/>
        <v>7</v>
      </c>
      <c r="N62" s="31">
        <f t="shared" si="3"/>
        <v>7.2076923076923149E-2</v>
      </c>
      <c r="O62" s="24">
        <f>IF(J62="UNKNOWN","",INDEX(Cost_Rollup!$F$5:$F$16,MATCH(I62,Cost_Rollup!$A$5:$A$16,0)))</f>
        <v>381.98428000000001</v>
      </c>
      <c r="P62" s="24">
        <f t="shared" si="4"/>
        <v>2673.88996</v>
      </c>
      <c r="Q62" s="15" t="str">
        <f t="shared" si="5"/>
        <v/>
      </c>
      <c r="R62" s="15" t="str">
        <f t="shared" si="6"/>
        <v>OK</v>
      </c>
    </row>
    <row r="63" spans="1:18" x14ac:dyDescent="0.3">
      <c r="A63" s="12" t="s">
        <v>333</v>
      </c>
      <c r="B63" s="30">
        <v>45760</v>
      </c>
      <c r="C63" s="12" t="s">
        <v>279</v>
      </c>
      <c r="D63" s="12" t="s">
        <v>280</v>
      </c>
      <c r="E63" s="12" t="s">
        <v>147</v>
      </c>
      <c r="F63" s="12" t="s">
        <v>103</v>
      </c>
      <c r="G63" s="23">
        <v>13</v>
      </c>
      <c r="H63" s="22">
        <v>584.16</v>
      </c>
      <c r="I63" s="15" t="str">
        <f t="shared" si="0"/>
        <v>PC-RCP-0600</v>
      </c>
      <c r="J63" s="15" t="str">
        <f>IFERROR(INDEX(Items!$C$2:$C$500,MATCH(I63,Items!$H$2:$H$500,0)),"UNKNOWN")</f>
        <v>Pipe</v>
      </c>
      <c r="K63" s="24">
        <f>IF(J63="UNKNOWN","",INDEX(Items!$F$2:$F$500,MATCH(I63,Items!$H$2:$H$500,0)))</f>
        <v>640</v>
      </c>
      <c r="L63" s="24">
        <f t="shared" si="1"/>
        <v>7594.08</v>
      </c>
      <c r="M63" s="28">
        <f t="shared" si="2"/>
        <v>13</v>
      </c>
      <c r="N63" s="31">
        <f t="shared" si="3"/>
        <v>8.725000000000005E-2</v>
      </c>
      <c r="O63" s="24">
        <f>IF(J63="UNKNOWN","",INDEX(Cost_Rollup!$F$5:$F$16,MATCH(I63,Cost_Rollup!$A$5:$A$16,0)))</f>
        <v>429.94831999999997</v>
      </c>
      <c r="P63" s="24">
        <f t="shared" si="4"/>
        <v>5589.3281599999991</v>
      </c>
      <c r="Q63" s="15" t="str">
        <f t="shared" si="5"/>
        <v/>
      </c>
      <c r="R63" s="15" t="str">
        <f t="shared" si="6"/>
        <v>OK</v>
      </c>
    </row>
    <row r="64" spans="1:18" x14ac:dyDescent="0.3">
      <c r="A64" s="12" t="s">
        <v>334</v>
      </c>
      <c r="B64" s="30">
        <v>45760</v>
      </c>
      <c r="C64" s="12" t="s">
        <v>257</v>
      </c>
      <c r="D64" s="12" t="s">
        <v>258</v>
      </c>
      <c r="E64" s="12" t="s">
        <v>70</v>
      </c>
      <c r="F64" s="12" t="s">
        <v>103</v>
      </c>
      <c r="G64" s="23">
        <v>21</v>
      </c>
      <c r="H64" s="22">
        <v>583.58000000000004</v>
      </c>
      <c r="I64" s="15" t="str">
        <f t="shared" si="0"/>
        <v>PC-RCP-0600</v>
      </c>
      <c r="J64" s="15" t="str">
        <f>IFERROR(INDEX(Items!$C$2:$C$500,MATCH(I64,Items!$H$2:$H$500,0)),"UNKNOWN")</f>
        <v>Pipe</v>
      </c>
      <c r="K64" s="24">
        <f>IF(J64="UNKNOWN","",INDEX(Items!$F$2:$F$500,MATCH(I64,Items!$H$2:$H$500,0)))</f>
        <v>640</v>
      </c>
      <c r="L64" s="24">
        <f t="shared" si="1"/>
        <v>12255.18</v>
      </c>
      <c r="M64" s="28">
        <f t="shared" si="2"/>
        <v>21</v>
      </c>
      <c r="N64" s="31">
        <f t="shared" si="3"/>
        <v>8.8156249999999936E-2</v>
      </c>
      <c r="O64" s="24">
        <f>IF(J64="UNKNOWN","",INDEX(Cost_Rollup!$F$5:$F$16,MATCH(I64,Cost_Rollup!$A$5:$A$16,0)))</f>
        <v>429.94831999999997</v>
      </c>
      <c r="P64" s="24">
        <f t="shared" si="4"/>
        <v>9028.9147199999989</v>
      </c>
      <c r="Q64" s="15" t="str">
        <f t="shared" si="5"/>
        <v/>
      </c>
      <c r="R64" s="15" t="str">
        <f t="shared" si="6"/>
        <v>OK</v>
      </c>
    </row>
    <row r="65" spans="1:18" x14ac:dyDescent="0.3">
      <c r="A65" s="12" t="s">
        <v>335</v>
      </c>
      <c r="B65" s="30">
        <v>45765</v>
      </c>
      <c r="C65" s="12" t="s">
        <v>276</v>
      </c>
      <c r="D65" s="12" t="s">
        <v>277</v>
      </c>
      <c r="E65" s="12" t="s">
        <v>70</v>
      </c>
      <c r="F65" s="12" t="s">
        <v>118</v>
      </c>
      <c r="G65" s="23">
        <v>7</v>
      </c>
      <c r="H65" s="22">
        <v>1164.42</v>
      </c>
      <c r="I65" s="15" t="str">
        <f t="shared" si="0"/>
        <v>PC-MH-1200B</v>
      </c>
      <c r="J65" s="15" t="str">
        <f>IFERROR(INDEX(Items!$C$2:$C$500,MATCH(I65,Items!$H$2:$H$500,0)),"UNKNOWN")</f>
        <v>Manhole</v>
      </c>
      <c r="K65" s="24">
        <f>IF(J65="UNKNOWN","",INDEX(Items!$F$2:$F$500,MATCH(I65,Items!$H$2:$H$500,0)))</f>
        <v>1240</v>
      </c>
      <c r="L65" s="24">
        <f t="shared" si="1"/>
        <v>8150.9400000000005</v>
      </c>
      <c r="M65" s="28">
        <f t="shared" si="2"/>
        <v>7</v>
      </c>
      <c r="N65" s="31">
        <f t="shared" si="3"/>
        <v>6.0951612903225705E-2</v>
      </c>
      <c r="O65" s="24">
        <f>IF(J65="UNKNOWN","",INDEX(Cost_Rollup!$F$5:$F$16,MATCH(I65,Cost_Rollup!$A$5:$A$16,0)))</f>
        <v>753.42079999999999</v>
      </c>
      <c r="P65" s="24">
        <f t="shared" si="4"/>
        <v>5273.9456</v>
      </c>
      <c r="Q65" s="15" t="str">
        <f t="shared" si="5"/>
        <v/>
      </c>
      <c r="R65" s="15" t="str">
        <f t="shared" si="6"/>
        <v>OK</v>
      </c>
    </row>
    <row r="66" spans="1:18" x14ac:dyDescent="0.3">
      <c r="A66" s="12" t="s">
        <v>336</v>
      </c>
      <c r="B66" s="30">
        <v>45767</v>
      </c>
      <c r="C66" s="12" t="s">
        <v>273</v>
      </c>
      <c r="D66" s="12" t="s">
        <v>274</v>
      </c>
      <c r="E66" s="12" t="s">
        <v>147</v>
      </c>
      <c r="F66" s="12" t="s">
        <v>112</v>
      </c>
      <c r="G66" s="23">
        <v>8</v>
      </c>
      <c r="H66" s="22">
        <v>3797.94</v>
      </c>
      <c r="I66" s="15" t="str">
        <f t="shared" ref="I66:I129" si="7">UPPER(TRIM(F66))</f>
        <v>PC-BOX-1812</v>
      </c>
      <c r="J66" s="15" t="str">
        <f>IFERROR(INDEX(Items!$C$2:$C$500,MATCH(I66,Items!$H$2:$H$500,0)),"UNKNOWN")</f>
        <v>Box Culvert</v>
      </c>
      <c r="K66" s="24">
        <f>IF(J66="UNKNOWN","",INDEX(Items!$F$2:$F$500,MATCH(I66,Items!$H$2:$H$500,0)))</f>
        <v>4200</v>
      </c>
      <c r="L66" s="24">
        <f t="shared" ref="L66:L129" si="8">IF(ISNUMBER(H66),G66*H66,"")</f>
        <v>30383.52</v>
      </c>
      <c r="M66" s="28">
        <f t="shared" ref="M66:M129" si="9">IF(ISNUMBER(H66),G66,0)</f>
        <v>8</v>
      </c>
      <c r="N66" s="31">
        <f t="shared" ref="N66:N129" si="10">IF(AND(ISNUMBER(H66),ISNUMBER(K66)),1-H66/K66,"")</f>
        <v>9.5728571428571385E-2</v>
      </c>
      <c r="O66" s="24">
        <f>IF(J66="UNKNOWN","",INDEX(Cost_Rollup!$F$5:$F$16,MATCH(I66,Cost_Rollup!$A$5:$A$16,0)))</f>
        <v>2795.3624</v>
      </c>
      <c r="P66" s="24">
        <f t="shared" ref="P66:P129" si="11">IF(AND(ISNUMBER(L66),ISNUMBER(O66)),G66*O66,"")</f>
        <v>22362.8992</v>
      </c>
      <c r="Q66" s="15" t="str">
        <f t="shared" ref="Q66:Q129" si="12">IF(H66="","Missing price; ","")&amp;IF(J66="UNKNOWN","Unknown item; ","")&amp;IF(AND(ISNUMBER(N66),N66&gt;Discount_Threshold),"Discount above limit; ","")</f>
        <v/>
      </c>
      <c r="R66" s="15" t="str">
        <f t="shared" ref="R66:R129" si="13">IF(Q66="","OK","CHECK")</f>
        <v>OK</v>
      </c>
    </row>
    <row r="67" spans="1:18" x14ac:dyDescent="0.3">
      <c r="A67" s="12" t="s">
        <v>337</v>
      </c>
      <c r="B67" s="30">
        <v>45770</v>
      </c>
      <c r="C67" s="12" t="s">
        <v>279</v>
      </c>
      <c r="D67" s="12" t="s">
        <v>280</v>
      </c>
      <c r="E67" s="12" t="s">
        <v>147</v>
      </c>
      <c r="F67" s="12" t="s">
        <v>125</v>
      </c>
      <c r="G67" s="23">
        <v>22</v>
      </c>
      <c r="H67" s="22">
        <v>1431.43</v>
      </c>
      <c r="I67" s="15" t="str">
        <f t="shared" si="7"/>
        <v>PC-BAR-F38</v>
      </c>
      <c r="J67" s="15" t="str">
        <f>IFERROR(INDEX(Items!$C$2:$C$500,MATCH(I67,Items!$H$2:$H$500,0)),"UNKNOWN")</f>
        <v>Barrier</v>
      </c>
      <c r="K67" s="24">
        <f>IF(J67="UNKNOWN","",INDEX(Items!$F$2:$F$500,MATCH(I67,Items!$H$2:$H$500,0)))</f>
        <v>1450</v>
      </c>
      <c r="L67" s="24">
        <f t="shared" si="8"/>
        <v>31491.460000000003</v>
      </c>
      <c r="M67" s="28">
        <f t="shared" si="9"/>
        <v>22</v>
      </c>
      <c r="N67" s="31">
        <f t="shared" si="10"/>
        <v>1.2806896551724067E-2</v>
      </c>
      <c r="O67" s="24">
        <f>IF(J67="UNKNOWN","",INDEX(Cost_Rollup!$F$5:$F$16,MATCH(I67,Cost_Rollup!$A$5:$A$16,0)))</f>
        <v>978.66327999999999</v>
      </c>
      <c r="P67" s="24">
        <f t="shared" si="11"/>
        <v>21530.59216</v>
      </c>
      <c r="Q67" s="15" t="str">
        <f t="shared" si="12"/>
        <v/>
      </c>
      <c r="R67" s="15" t="str">
        <f t="shared" si="13"/>
        <v>OK</v>
      </c>
    </row>
    <row r="68" spans="1:18" x14ac:dyDescent="0.3">
      <c r="A68" s="12" t="s">
        <v>338</v>
      </c>
      <c r="B68" s="30">
        <v>45771</v>
      </c>
      <c r="C68" s="12" t="s">
        <v>265</v>
      </c>
      <c r="D68" s="12" t="s">
        <v>266</v>
      </c>
      <c r="E68" s="12" t="s">
        <v>70</v>
      </c>
      <c r="F68" s="12" t="s">
        <v>108</v>
      </c>
      <c r="G68" s="23">
        <v>28</v>
      </c>
      <c r="H68" s="22">
        <v>1047.69</v>
      </c>
      <c r="I68" s="15" t="str">
        <f t="shared" si="7"/>
        <v>PC-RCP-0900</v>
      </c>
      <c r="J68" s="15" t="str">
        <f>IFERROR(INDEX(Items!$C$2:$C$500,MATCH(I68,Items!$H$2:$H$500,0)),"UNKNOWN")</f>
        <v>Pipe</v>
      </c>
      <c r="K68" s="24">
        <f>IF(J68="UNKNOWN","",INDEX(Items!$F$2:$F$500,MATCH(I68,Items!$H$2:$H$500,0)))</f>
        <v>1150</v>
      </c>
      <c r="L68" s="24">
        <f t="shared" si="8"/>
        <v>29335.32</v>
      </c>
      <c r="M68" s="28">
        <f t="shared" si="9"/>
        <v>28</v>
      </c>
      <c r="N68" s="31">
        <f t="shared" si="10"/>
        <v>8.8965217391304252E-2</v>
      </c>
      <c r="O68" s="24">
        <f>IF(J68="UNKNOWN","",INDEX(Cost_Rollup!$F$5:$F$16,MATCH(I68,Cost_Rollup!$A$5:$A$16,0)))</f>
        <v>750.43372656869997</v>
      </c>
      <c r="P68" s="24">
        <f t="shared" si="11"/>
        <v>21012.144343923599</v>
      </c>
      <c r="Q68" s="15" t="str">
        <f t="shared" si="12"/>
        <v/>
      </c>
      <c r="R68" s="15" t="str">
        <f t="shared" si="13"/>
        <v>OK</v>
      </c>
    </row>
    <row r="69" spans="1:18" x14ac:dyDescent="0.3">
      <c r="A69" s="12" t="s">
        <v>339</v>
      </c>
      <c r="B69" s="30">
        <v>45772</v>
      </c>
      <c r="C69" s="12" t="s">
        <v>268</v>
      </c>
      <c r="D69" s="12" t="s">
        <v>269</v>
      </c>
      <c r="E69" s="12" t="s">
        <v>70</v>
      </c>
      <c r="F69" s="12" t="s">
        <v>135</v>
      </c>
      <c r="G69" s="23">
        <v>246</v>
      </c>
      <c r="H69" s="22">
        <v>126.68</v>
      </c>
      <c r="I69" s="15" t="str">
        <f t="shared" si="7"/>
        <v>PC-HC-250</v>
      </c>
      <c r="J69" s="15" t="str">
        <f>IFERROR(INDEX(Items!$C$2:$C$500,MATCH(I69,Items!$H$2:$H$500,0)),"UNKNOWN")</f>
        <v>Slab</v>
      </c>
      <c r="K69" s="24">
        <f>IF(J69="UNKNOWN","",INDEX(Items!$F$2:$F$500,MATCH(I69,Items!$H$2:$H$500,0)))</f>
        <v>136</v>
      </c>
      <c r="L69" s="24">
        <f t="shared" si="8"/>
        <v>31163.280000000002</v>
      </c>
      <c r="M69" s="28">
        <f t="shared" si="9"/>
        <v>246</v>
      </c>
      <c r="N69" s="31">
        <f t="shared" si="10"/>
        <v>6.8529411764705839E-2</v>
      </c>
      <c r="O69" s="24">
        <f>IF(J69="UNKNOWN","",INDEX(Cost_Rollup!$F$5:$F$16,MATCH(I69,Cost_Rollup!$A$5:$A$16,0)))</f>
        <v>92.940240000000003</v>
      </c>
      <c r="P69" s="24">
        <f t="shared" si="11"/>
        <v>22863.299040000002</v>
      </c>
      <c r="Q69" s="15" t="str">
        <f t="shared" si="12"/>
        <v/>
      </c>
      <c r="R69" s="15" t="str">
        <f t="shared" si="13"/>
        <v>OK</v>
      </c>
    </row>
    <row r="70" spans="1:18" x14ac:dyDescent="0.3">
      <c r="A70" s="12" t="s">
        <v>340</v>
      </c>
      <c r="B70" s="30">
        <v>45773</v>
      </c>
      <c r="C70" s="12" t="s">
        <v>260</v>
      </c>
      <c r="D70" s="12" t="s">
        <v>258</v>
      </c>
      <c r="E70" s="12" t="s">
        <v>70</v>
      </c>
      <c r="F70" s="12" t="s">
        <v>129</v>
      </c>
      <c r="G70" s="23">
        <v>22</v>
      </c>
      <c r="H70" s="22">
        <v>2297.86</v>
      </c>
      <c r="I70" s="15" t="str">
        <f t="shared" si="7"/>
        <v>PC-BAR-SS60</v>
      </c>
      <c r="J70" s="15" t="str">
        <f>IFERROR(INDEX(Items!$C$2:$C$500,MATCH(I70,Items!$H$2:$H$500,0)),"UNKNOWN")</f>
        <v>Barrier</v>
      </c>
      <c r="K70" s="24">
        <f>IF(J70="UNKNOWN","",INDEX(Items!$F$2:$F$500,MATCH(I70,Items!$H$2:$H$500,0)))</f>
        <v>2350</v>
      </c>
      <c r="L70" s="24">
        <f t="shared" si="8"/>
        <v>50552.920000000006</v>
      </c>
      <c r="M70" s="28">
        <f t="shared" si="9"/>
        <v>22</v>
      </c>
      <c r="N70" s="31">
        <f t="shared" si="10"/>
        <v>2.2187234042553183E-2</v>
      </c>
      <c r="O70" s="24">
        <f>IF(J70="UNKNOWN","",INDEX(Cost_Rollup!$F$5:$F$16,MATCH(I70,Cost_Rollup!$A$5:$A$16,0)))</f>
        <v>1583.5454</v>
      </c>
      <c r="P70" s="24">
        <f t="shared" si="11"/>
        <v>34837.998800000001</v>
      </c>
      <c r="Q70" s="15" t="str">
        <f t="shared" si="12"/>
        <v/>
      </c>
      <c r="R70" s="15" t="str">
        <f t="shared" si="13"/>
        <v>OK</v>
      </c>
    </row>
    <row r="71" spans="1:18" x14ac:dyDescent="0.3">
      <c r="A71" s="12" t="s">
        <v>341</v>
      </c>
      <c r="B71" s="30">
        <v>45773</v>
      </c>
      <c r="C71" s="12" t="s">
        <v>285</v>
      </c>
      <c r="D71" s="12" t="s">
        <v>266</v>
      </c>
      <c r="E71" s="12" t="s">
        <v>70</v>
      </c>
      <c r="F71" s="12" t="s">
        <v>122</v>
      </c>
      <c r="G71" s="23">
        <v>8</v>
      </c>
      <c r="H71" s="22">
        <v>715.58</v>
      </c>
      <c r="I71" s="15" t="str">
        <f t="shared" si="7"/>
        <v>PC-CB-0600</v>
      </c>
      <c r="J71" s="15" t="str">
        <f>IFERROR(INDEX(Items!$C$2:$C$500,MATCH(I71,Items!$H$2:$H$500,0)),"UNKNOWN")</f>
        <v>Catch Basin</v>
      </c>
      <c r="K71" s="24">
        <f>IF(J71="UNKNOWN","",INDEX(Items!$F$2:$F$500,MATCH(I71,Items!$H$2:$H$500,0)))</f>
        <v>690</v>
      </c>
      <c r="L71" s="24">
        <f t="shared" si="8"/>
        <v>5724.64</v>
      </c>
      <c r="M71" s="28">
        <f t="shared" si="9"/>
        <v>8</v>
      </c>
      <c r="N71" s="31">
        <f t="shared" si="10"/>
        <v>-3.7072463768115904E-2</v>
      </c>
      <c r="O71" s="24">
        <f>IF(J71="UNKNOWN","",INDEX(Cost_Rollup!$F$5:$F$16,MATCH(I71,Cost_Rollup!$A$5:$A$16,0)))</f>
        <v>471.04880000000003</v>
      </c>
      <c r="P71" s="24">
        <f t="shared" si="11"/>
        <v>3768.3904000000002</v>
      </c>
      <c r="Q71" s="15" t="str">
        <f t="shared" si="12"/>
        <v/>
      </c>
      <c r="R71" s="15" t="str">
        <f t="shared" si="13"/>
        <v>OK</v>
      </c>
    </row>
    <row r="72" spans="1:18" x14ac:dyDescent="0.3">
      <c r="A72" s="12" t="s">
        <v>342</v>
      </c>
      <c r="B72" s="30">
        <v>45774</v>
      </c>
      <c r="C72" s="12" t="s">
        <v>273</v>
      </c>
      <c r="D72" s="12" t="s">
        <v>274</v>
      </c>
      <c r="E72" s="12" t="s">
        <v>147</v>
      </c>
      <c r="F72" s="12" t="s">
        <v>135</v>
      </c>
      <c r="G72" s="23">
        <v>57</v>
      </c>
      <c r="H72" s="22">
        <v>132.47999999999999</v>
      </c>
      <c r="I72" s="15" t="str">
        <f t="shared" si="7"/>
        <v>PC-HC-250</v>
      </c>
      <c r="J72" s="15" t="str">
        <f>IFERROR(INDEX(Items!$C$2:$C$500,MATCH(I72,Items!$H$2:$H$500,0)),"UNKNOWN")</f>
        <v>Slab</v>
      </c>
      <c r="K72" s="24">
        <f>IF(J72="UNKNOWN","",INDEX(Items!$F$2:$F$500,MATCH(I72,Items!$H$2:$H$500,0)))</f>
        <v>136</v>
      </c>
      <c r="L72" s="24">
        <f t="shared" si="8"/>
        <v>7551.36</v>
      </c>
      <c r="M72" s="28">
        <f t="shared" si="9"/>
        <v>57</v>
      </c>
      <c r="N72" s="31">
        <f t="shared" si="10"/>
        <v>2.5882352941176578E-2</v>
      </c>
      <c r="O72" s="24">
        <f>IF(J72="UNKNOWN","",INDEX(Cost_Rollup!$F$5:$F$16,MATCH(I72,Cost_Rollup!$A$5:$A$16,0)))</f>
        <v>92.940240000000003</v>
      </c>
      <c r="P72" s="24">
        <f t="shared" si="11"/>
        <v>5297.5936799999999</v>
      </c>
      <c r="Q72" s="15" t="str">
        <f t="shared" si="12"/>
        <v/>
      </c>
      <c r="R72" s="15" t="str">
        <f t="shared" si="13"/>
        <v>OK</v>
      </c>
    </row>
    <row r="73" spans="1:18" x14ac:dyDescent="0.3">
      <c r="A73" s="12" t="s">
        <v>343</v>
      </c>
      <c r="B73" s="30">
        <v>45774</v>
      </c>
      <c r="C73" s="12" t="s">
        <v>285</v>
      </c>
      <c r="D73" s="12" t="s">
        <v>266</v>
      </c>
      <c r="E73" s="12" t="s">
        <v>70</v>
      </c>
      <c r="F73" s="12" t="s">
        <v>108</v>
      </c>
      <c r="G73" s="23">
        <v>21</v>
      </c>
      <c r="H73" s="22">
        <v>1062.3800000000001</v>
      </c>
      <c r="I73" s="15" t="str">
        <f t="shared" si="7"/>
        <v>PC-RCP-0900</v>
      </c>
      <c r="J73" s="15" t="str">
        <f>IFERROR(INDEX(Items!$C$2:$C$500,MATCH(I73,Items!$H$2:$H$500,0)),"UNKNOWN")</f>
        <v>Pipe</v>
      </c>
      <c r="K73" s="24">
        <f>IF(J73="UNKNOWN","",INDEX(Items!$F$2:$F$500,MATCH(I73,Items!$H$2:$H$500,0)))</f>
        <v>1150</v>
      </c>
      <c r="L73" s="24">
        <f t="shared" si="8"/>
        <v>22309.980000000003</v>
      </c>
      <c r="M73" s="28">
        <f t="shared" si="9"/>
        <v>21</v>
      </c>
      <c r="N73" s="31">
        <f t="shared" si="10"/>
        <v>7.619130434782595E-2</v>
      </c>
      <c r="O73" s="24">
        <f>IF(J73="UNKNOWN","",INDEX(Cost_Rollup!$F$5:$F$16,MATCH(I73,Cost_Rollup!$A$5:$A$16,0)))</f>
        <v>750.43372656869997</v>
      </c>
      <c r="P73" s="24">
        <f t="shared" si="11"/>
        <v>15759.108257942698</v>
      </c>
      <c r="Q73" s="15" t="str">
        <f t="shared" si="12"/>
        <v/>
      </c>
      <c r="R73" s="15" t="str">
        <f t="shared" si="13"/>
        <v>OK</v>
      </c>
    </row>
    <row r="74" spans="1:18" x14ac:dyDescent="0.3">
      <c r="A74" s="12" t="s">
        <v>344</v>
      </c>
      <c r="B74" s="30">
        <v>45776</v>
      </c>
      <c r="C74" s="12" t="s">
        <v>257</v>
      </c>
      <c r="D74" s="12" t="s">
        <v>258</v>
      </c>
      <c r="E74" s="12" t="s">
        <v>70</v>
      </c>
      <c r="F74" s="12" t="s">
        <v>122</v>
      </c>
      <c r="G74" s="23">
        <v>8</v>
      </c>
      <c r="H74" s="22">
        <v>679.79</v>
      </c>
      <c r="I74" s="15" t="str">
        <f t="shared" si="7"/>
        <v>PC-CB-0600</v>
      </c>
      <c r="J74" s="15" t="str">
        <f>IFERROR(INDEX(Items!$C$2:$C$500,MATCH(I74,Items!$H$2:$H$500,0)),"UNKNOWN")</f>
        <v>Catch Basin</v>
      </c>
      <c r="K74" s="24">
        <f>IF(J74="UNKNOWN","",INDEX(Items!$F$2:$F$500,MATCH(I74,Items!$H$2:$H$500,0)))</f>
        <v>690</v>
      </c>
      <c r="L74" s="24">
        <f t="shared" si="8"/>
        <v>5438.32</v>
      </c>
      <c r="M74" s="28">
        <f t="shared" si="9"/>
        <v>8</v>
      </c>
      <c r="N74" s="31">
        <f t="shared" si="10"/>
        <v>1.4797101449275374E-2</v>
      </c>
      <c r="O74" s="24">
        <f>IF(J74="UNKNOWN","",INDEX(Cost_Rollup!$F$5:$F$16,MATCH(I74,Cost_Rollup!$A$5:$A$16,0)))</f>
        <v>471.04880000000003</v>
      </c>
      <c r="P74" s="24">
        <f t="shared" si="11"/>
        <v>3768.3904000000002</v>
      </c>
      <c r="Q74" s="15" t="str">
        <f t="shared" si="12"/>
        <v/>
      </c>
      <c r="R74" s="15" t="str">
        <f t="shared" si="13"/>
        <v>OK</v>
      </c>
    </row>
    <row r="75" spans="1:18" x14ac:dyDescent="0.3">
      <c r="A75" s="12" t="s">
        <v>345</v>
      </c>
      <c r="B75" s="30">
        <v>45779</v>
      </c>
      <c r="C75" s="12" t="s">
        <v>263</v>
      </c>
      <c r="D75" s="12" t="s">
        <v>258</v>
      </c>
      <c r="E75" s="12" t="s">
        <v>70</v>
      </c>
      <c r="F75" s="12" t="s">
        <v>103</v>
      </c>
      <c r="G75" s="23">
        <v>12</v>
      </c>
      <c r="H75" s="22">
        <v>624.49</v>
      </c>
      <c r="I75" s="15" t="str">
        <f t="shared" si="7"/>
        <v>PC-RCP-0600</v>
      </c>
      <c r="J75" s="15" t="str">
        <f>IFERROR(INDEX(Items!$C$2:$C$500,MATCH(I75,Items!$H$2:$H$500,0)),"UNKNOWN")</f>
        <v>Pipe</v>
      </c>
      <c r="K75" s="24">
        <f>IF(J75="UNKNOWN","",INDEX(Items!$F$2:$F$500,MATCH(I75,Items!$H$2:$H$500,0)))</f>
        <v>640</v>
      </c>
      <c r="L75" s="24">
        <f t="shared" si="8"/>
        <v>7493.88</v>
      </c>
      <c r="M75" s="28">
        <f t="shared" si="9"/>
        <v>12</v>
      </c>
      <c r="N75" s="31">
        <f t="shared" si="10"/>
        <v>2.423437500000003E-2</v>
      </c>
      <c r="O75" s="24">
        <f>IF(J75="UNKNOWN","",INDEX(Cost_Rollup!$F$5:$F$16,MATCH(I75,Cost_Rollup!$A$5:$A$16,0)))</f>
        <v>429.94831999999997</v>
      </c>
      <c r="P75" s="24">
        <f t="shared" si="11"/>
        <v>5159.3798399999996</v>
      </c>
      <c r="Q75" s="15" t="str">
        <f t="shared" si="12"/>
        <v/>
      </c>
      <c r="R75" s="15" t="str">
        <f t="shared" si="13"/>
        <v>OK</v>
      </c>
    </row>
    <row r="76" spans="1:18" x14ac:dyDescent="0.3">
      <c r="A76" s="12" t="s">
        <v>346</v>
      </c>
      <c r="B76" s="30">
        <v>45779</v>
      </c>
      <c r="C76" s="12" t="s">
        <v>257</v>
      </c>
      <c r="D76" s="12" t="s">
        <v>258</v>
      </c>
      <c r="E76" s="12" t="s">
        <v>70</v>
      </c>
      <c r="F76" s="12" t="s">
        <v>122</v>
      </c>
      <c r="G76" s="23">
        <v>3</v>
      </c>
      <c r="H76" s="22">
        <v>702.7</v>
      </c>
      <c r="I76" s="15" t="str">
        <f t="shared" si="7"/>
        <v>PC-CB-0600</v>
      </c>
      <c r="J76" s="15" t="str">
        <f>IFERROR(INDEX(Items!$C$2:$C$500,MATCH(I76,Items!$H$2:$H$500,0)),"UNKNOWN")</f>
        <v>Catch Basin</v>
      </c>
      <c r="K76" s="24">
        <f>IF(J76="UNKNOWN","",INDEX(Items!$F$2:$F$500,MATCH(I76,Items!$H$2:$H$500,0)))</f>
        <v>690</v>
      </c>
      <c r="L76" s="24">
        <f t="shared" si="8"/>
        <v>2108.1000000000004</v>
      </c>
      <c r="M76" s="28">
        <f t="shared" si="9"/>
        <v>3</v>
      </c>
      <c r="N76" s="31">
        <f t="shared" si="10"/>
        <v>-1.8405797101449295E-2</v>
      </c>
      <c r="O76" s="24">
        <f>IF(J76="UNKNOWN","",INDEX(Cost_Rollup!$F$5:$F$16,MATCH(I76,Cost_Rollup!$A$5:$A$16,0)))</f>
        <v>471.04880000000003</v>
      </c>
      <c r="P76" s="24">
        <f t="shared" si="11"/>
        <v>1413.1464000000001</v>
      </c>
      <c r="Q76" s="15" t="str">
        <f t="shared" si="12"/>
        <v/>
      </c>
      <c r="R76" s="15" t="str">
        <f t="shared" si="13"/>
        <v>OK</v>
      </c>
    </row>
    <row r="77" spans="1:18" x14ac:dyDescent="0.3">
      <c r="A77" s="12" t="s">
        <v>347</v>
      </c>
      <c r="B77" s="30">
        <v>45782</v>
      </c>
      <c r="C77" s="12" t="s">
        <v>260</v>
      </c>
      <c r="D77" s="12" t="s">
        <v>258</v>
      </c>
      <c r="E77" s="12" t="s">
        <v>70</v>
      </c>
      <c r="F77" s="12" t="s">
        <v>125</v>
      </c>
      <c r="G77" s="23">
        <v>30</v>
      </c>
      <c r="H77" s="22">
        <v>1311.93</v>
      </c>
      <c r="I77" s="15" t="str">
        <f t="shared" si="7"/>
        <v>PC-BAR-F38</v>
      </c>
      <c r="J77" s="15" t="str">
        <f>IFERROR(INDEX(Items!$C$2:$C$500,MATCH(I77,Items!$H$2:$H$500,0)),"UNKNOWN")</f>
        <v>Barrier</v>
      </c>
      <c r="K77" s="24">
        <f>IF(J77="UNKNOWN","",INDEX(Items!$F$2:$F$500,MATCH(I77,Items!$H$2:$H$500,0)))</f>
        <v>1450</v>
      </c>
      <c r="L77" s="24">
        <f t="shared" si="8"/>
        <v>39357.9</v>
      </c>
      <c r="M77" s="28">
        <f t="shared" si="9"/>
        <v>30</v>
      </c>
      <c r="N77" s="31">
        <f t="shared" si="10"/>
        <v>9.5220689655172386E-2</v>
      </c>
      <c r="O77" s="24">
        <f>IF(J77="UNKNOWN","",INDEX(Cost_Rollup!$F$5:$F$16,MATCH(I77,Cost_Rollup!$A$5:$A$16,0)))</f>
        <v>978.66327999999999</v>
      </c>
      <c r="P77" s="24">
        <f t="shared" si="11"/>
        <v>29359.898399999998</v>
      </c>
      <c r="Q77" s="15" t="str">
        <f t="shared" si="12"/>
        <v/>
      </c>
      <c r="R77" s="15" t="str">
        <f t="shared" si="13"/>
        <v>OK</v>
      </c>
    </row>
    <row r="78" spans="1:18" x14ac:dyDescent="0.3">
      <c r="A78" s="12" t="s">
        <v>348</v>
      </c>
      <c r="B78" s="30">
        <v>45782</v>
      </c>
      <c r="C78" s="12" t="s">
        <v>257</v>
      </c>
      <c r="D78" s="12" t="s">
        <v>258</v>
      </c>
      <c r="E78" s="12" t="s">
        <v>70</v>
      </c>
      <c r="F78" s="12" t="s">
        <v>110</v>
      </c>
      <c r="G78" s="23">
        <v>21</v>
      </c>
      <c r="H78" s="22">
        <v>1905.38</v>
      </c>
      <c r="I78" s="15" t="str">
        <f t="shared" si="7"/>
        <v>PC-RCP-1200</v>
      </c>
      <c r="J78" s="15" t="str">
        <f>IFERROR(INDEX(Items!$C$2:$C$500,MATCH(I78,Items!$H$2:$H$500,0)),"UNKNOWN")</f>
        <v>Pipe</v>
      </c>
      <c r="K78" s="24">
        <f>IF(J78="UNKNOWN","",INDEX(Items!$F$2:$F$500,MATCH(I78,Items!$H$2:$H$500,0)))</f>
        <v>1890</v>
      </c>
      <c r="L78" s="24">
        <f t="shared" si="8"/>
        <v>40012.980000000003</v>
      </c>
      <c r="M78" s="28">
        <f t="shared" si="9"/>
        <v>21</v>
      </c>
      <c r="N78" s="31">
        <f t="shared" si="10"/>
        <v>-8.1375661375662212E-3</v>
      </c>
      <c r="O78" s="24">
        <f>IF(J78="UNKNOWN","",INDEX(Cost_Rollup!$F$5:$F$16,MATCH(I78,Cost_Rollup!$A$5:$A$16,0)))</f>
        <v>1206.4054000000001</v>
      </c>
      <c r="P78" s="24">
        <f t="shared" si="11"/>
        <v>25334.513400000003</v>
      </c>
      <c r="Q78" s="15" t="str">
        <f t="shared" si="12"/>
        <v/>
      </c>
      <c r="R78" s="15" t="str">
        <f t="shared" si="13"/>
        <v>OK</v>
      </c>
    </row>
    <row r="79" spans="1:18" x14ac:dyDescent="0.3">
      <c r="A79" s="12" t="s">
        <v>349</v>
      </c>
      <c r="B79" s="30">
        <v>45783</v>
      </c>
      <c r="C79" s="12" t="s">
        <v>263</v>
      </c>
      <c r="D79" s="12" t="s">
        <v>258</v>
      </c>
      <c r="E79" s="12" t="s">
        <v>70</v>
      </c>
      <c r="F79" s="12" t="s">
        <v>115</v>
      </c>
      <c r="G79" s="23">
        <v>2</v>
      </c>
      <c r="H79" s="22">
        <v>894.88</v>
      </c>
      <c r="I79" s="15" t="str">
        <f t="shared" si="7"/>
        <v>PC-MH-1050B</v>
      </c>
      <c r="J79" s="15" t="str">
        <f>IFERROR(INDEX(Items!$C$2:$C$500,MATCH(I79,Items!$H$2:$H$500,0)),"UNKNOWN")</f>
        <v>Manhole</v>
      </c>
      <c r="K79" s="24">
        <f>IF(J79="UNKNOWN","",INDEX(Items!$F$2:$F$500,MATCH(I79,Items!$H$2:$H$500,0)))</f>
        <v>980</v>
      </c>
      <c r="L79" s="24">
        <f t="shared" si="8"/>
        <v>1789.76</v>
      </c>
      <c r="M79" s="28">
        <f t="shared" si="9"/>
        <v>2</v>
      </c>
      <c r="N79" s="31">
        <f t="shared" si="10"/>
        <v>8.6857142857142855E-2</v>
      </c>
      <c r="O79" s="24">
        <f>IF(J79="UNKNOWN","",INDEX(Cost_Rollup!$F$5:$F$16,MATCH(I79,Cost_Rollup!$A$5:$A$16,0)))</f>
        <v>635.43299999999999</v>
      </c>
      <c r="P79" s="24">
        <f t="shared" si="11"/>
        <v>1270.866</v>
      </c>
      <c r="Q79" s="15" t="str">
        <f t="shared" si="12"/>
        <v/>
      </c>
      <c r="R79" s="15" t="str">
        <f t="shared" si="13"/>
        <v>OK</v>
      </c>
    </row>
    <row r="80" spans="1:18" x14ac:dyDescent="0.3">
      <c r="A80" s="12" t="s">
        <v>350</v>
      </c>
      <c r="B80" s="30">
        <v>45784</v>
      </c>
      <c r="C80" s="12" t="s">
        <v>279</v>
      </c>
      <c r="D80" s="12" t="s">
        <v>280</v>
      </c>
      <c r="E80" s="12" t="s">
        <v>147</v>
      </c>
      <c r="F80" s="12" t="s">
        <v>103</v>
      </c>
      <c r="G80" s="23">
        <v>21</v>
      </c>
      <c r="H80" s="22">
        <v>607.54</v>
      </c>
      <c r="I80" s="15" t="str">
        <f t="shared" si="7"/>
        <v>PC-RCP-0600</v>
      </c>
      <c r="J80" s="15" t="str">
        <f>IFERROR(INDEX(Items!$C$2:$C$500,MATCH(I80,Items!$H$2:$H$500,0)),"UNKNOWN")</f>
        <v>Pipe</v>
      </c>
      <c r="K80" s="24">
        <f>IF(J80="UNKNOWN","",INDEX(Items!$F$2:$F$500,MATCH(I80,Items!$H$2:$H$500,0)))</f>
        <v>640</v>
      </c>
      <c r="L80" s="24">
        <f t="shared" si="8"/>
        <v>12758.34</v>
      </c>
      <c r="M80" s="28">
        <f t="shared" si="9"/>
        <v>21</v>
      </c>
      <c r="N80" s="31">
        <f t="shared" si="10"/>
        <v>5.0718750000000035E-2</v>
      </c>
      <c r="O80" s="24">
        <f>IF(J80="UNKNOWN","",INDEX(Cost_Rollup!$F$5:$F$16,MATCH(I80,Cost_Rollup!$A$5:$A$16,0)))</f>
        <v>429.94831999999997</v>
      </c>
      <c r="P80" s="24">
        <f t="shared" si="11"/>
        <v>9028.9147199999989</v>
      </c>
      <c r="Q80" s="15" t="str">
        <f t="shared" si="12"/>
        <v/>
      </c>
      <c r="R80" s="15" t="str">
        <f t="shared" si="13"/>
        <v>OK</v>
      </c>
    </row>
    <row r="81" spans="1:18" x14ac:dyDescent="0.3">
      <c r="A81" s="12" t="s">
        <v>351</v>
      </c>
      <c r="B81" s="30">
        <v>45785</v>
      </c>
      <c r="C81" s="12" t="s">
        <v>273</v>
      </c>
      <c r="D81" s="12" t="s">
        <v>274</v>
      </c>
      <c r="E81" s="12" t="s">
        <v>147</v>
      </c>
      <c r="F81" s="12" t="s">
        <v>131</v>
      </c>
      <c r="G81" s="23">
        <v>152</v>
      </c>
      <c r="H81" s="22">
        <v>119</v>
      </c>
      <c r="I81" s="15" t="str">
        <f t="shared" si="7"/>
        <v>PC-HC-200</v>
      </c>
      <c r="J81" s="15" t="str">
        <f>IFERROR(INDEX(Items!$C$2:$C$500,MATCH(I81,Items!$H$2:$H$500,0)),"UNKNOWN")</f>
        <v>Slab</v>
      </c>
      <c r="K81" s="24">
        <f>IF(J81="UNKNOWN","",INDEX(Items!$F$2:$F$500,MATCH(I81,Items!$H$2:$H$500,0)))</f>
        <v>118</v>
      </c>
      <c r="L81" s="24">
        <f t="shared" si="8"/>
        <v>18088</v>
      </c>
      <c r="M81" s="28">
        <f t="shared" si="9"/>
        <v>152</v>
      </c>
      <c r="N81" s="31">
        <f t="shared" si="10"/>
        <v>-8.4745762711864181E-3</v>
      </c>
      <c r="O81" s="24">
        <f>IF(J81="UNKNOWN","",INDEX(Cost_Rollup!$F$5:$F$16,MATCH(I81,Cost_Rollup!$A$5:$A$16,0)))</f>
        <v>78.893820000000005</v>
      </c>
      <c r="P81" s="24">
        <f t="shared" si="11"/>
        <v>11991.860640000001</v>
      </c>
      <c r="Q81" s="15" t="str">
        <f t="shared" si="12"/>
        <v/>
      </c>
      <c r="R81" s="15" t="str">
        <f t="shared" si="13"/>
        <v>OK</v>
      </c>
    </row>
    <row r="82" spans="1:18" x14ac:dyDescent="0.3">
      <c r="A82" s="12" t="s">
        <v>352</v>
      </c>
      <c r="B82" s="30">
        <v>45786</v>
      </c>
      <c r="C82" s="12" t="s">
        <v>265</v>
      </c>
      <c r="D82" s="12" t="s">
        <v>266</v>
      </c>
      <c r="E82" s="12" t="s">
        <v>70</v>
      </c>
      <c r="F82" s="12" t="s">
        <v>120</v>
      </c>
      <c r="G82" s="23">
        <v>3</v>
      </c>
      <c r="H82" s="22">
        <v>505.4</v>
      </c>
      <c r="I82" s="15" t="str">
        <f t="shared" si="7"/>
        <v>PC-MH-1200R</v>
      </c>
      <c r="J82" s="15" t="str">
        <f>IFERROR(INDEX(Items!$C$2:$C$500,MATCH(I82,Items!$H$2:$H$500,0)),"UNKNOWN")</f>
        <v>Manhole</v>
      </c>
      <c r="K82" s="24">
        <f>IF(J82="UNKNOWN","",INDEX(Items!$F$2:$F$500,MATCH(I82,Items!$H$2:$H$500,0)))</f>
        <v>520</v>
      </c>
      <c r="L82" s="24">
        <f t="shared" si="8"/>
        <v>1516.1999999999998</v>
      </c>
      <c r="M82" s="28">
        <f t="shared" si="9"/>
        <v>3</v>
      </c>
      <c r="N82" s="31">
        <f t="shared" si="10"/>
        <v>2.807692307692311E-2</v>
      </c>
      <c r="O82" s="24">
        <f>IF(J82="UNKNOWN","",INDEX(Cost_Rollup!$F$5:$F$16,MATCH(I82,Cost_Rollup!$A$5:$A$16,0)))</f>
        <v>381.98428000000001</v>
      </c>
      <c r="P82" s="24">
        <f t="shared" si="11"/>
        <v>1145.9528399999999</v>
      </c>
      <c r="Q82" s="15" t="str">
        <f t="shared" si="12"/>
        <v/>
      </c>
      <c r="R82" s="15" t="str">
        <f t="shared" si="13"/>
        <v>OK</v>
      </c>
    </row>
    <row r="83" spans="1:18" x14ac:dyDescent="0.3">
      <c r="A83" s="12" t="s">
        <v>353</v>
      </c>
      <c r="B83" s="30">
        <v>45787</v>
      </c>
      <c r="C83" s="12" t="s">
        <v>276</v>
      </c>
      <c r="D83" s="12" t="s">
        <v>277</v>
      </c>
      <c r="E83" s="12" t="s">
        <v>70</v>
      </c>
      <c r="F83" s="12" t="s">
        <v>129</v>
      </c>
      <c r="G83" s="23">
        <v>29</v>
      </c>
      <c r="H83" s="22">
        <v>2232.1999999999998</v>
      </c>
      <c r="I83" s="15" t="str">
        <f t="shared" si="7"/>
        <v>PC-BAR-SS60</v>
      </c>
      <c r="J83" s="15" t="str">
        <f>IFERROR(INDEX(Items!$C$2:$C$500,MATCH(I83,Items!$H$2:$H$500,0)),"UNKNOWN")</f>
        <v>Barrier</v>
      </c>
      <c r="K83" s="24">
        <f>IF(J83="UNKNOWN","",INDEX(Items!$F$2:$F$500,MATCH(I83,Items!$H$2:$H$500,0)))</f>
        <v>2350</v>
      </c>
      <c r="L83" s="24">
        <f t="shared" si="8"/>
        <v>64733.799999999996</v>
      </c>
      <c r="M83" s="28">
        <f t="shared" si="9"/>
        <v>29</v>
      </c>
      <c r="N83" s="31">
        <f t="shared" si="10"/>
        <v>5.0127659574468186E-2</v>
      </c>
      <c r="O83" s="24">
        <f>IF(J83="UNKNOWN","",INDEX(Cost_Rollup!$F$5:$F$16,MATCH(I83,Cost_Rollup!$A$5:$A$16,0)))</f>
        <v>1583.5454</v>
      </c>
      <c r="P83" s="24">
        <f t="shared" si="11"/>
        <v>45922.816599999998</v>
      </c>
      <c r="Q83" s="15" t="str">
        <f t="shared" si="12"/>
        <v/>
      </c>
      <c r="R83" s="15" t="str">
        <f t="shared" si="13"/>
        <v>OK</v>
      </c>
    </row>
    <row r="84" spans="1:18" x14ac:dyDescent="0.3">
      <c r="A84" s="12" t="s">
        <v>354</v>
      </c>
      <c r="B84" s="30">
        <v>45789</v>
      </c>
      <c r="C84" s="12" t="s">
        <v>257</v>
      </c>
      <c r="D84" s="12" t="s">
        <v>258</v>
      </c>
      <c r="E84" s="12" t="s">
        <v>70</v>
      </c>
      <c r="F84" s="12" t="s">
        <v>131</v>
      </c>
      <c r="G84" s="23">
        <v>273</v>
      </c>
      <c r="H84" s="22">
        <v>121.36</v>
      </c>
      <c r="I84" s="15" t="str">
        <f t="shared" si="7"/>
        <v>PC-HC-200</v>
      </c>
      <c r="J84" s="15" t="str">
        <f>IFERROR(INDEX(Items!$C$2:$C$500,MATCH(I84,Items!$H$2:$H$500,0)),"UNKNOWN")</f>
        <v>Slab</v>
      </c>
      <c r="K84" s="24">
        <f>IF(J84="UNKNOWN","",INDEX(Items!$F$2:$F$500,MATCH(I84,Items!$H$2:$H$500,0)))</f>
        <v>118</v>
      </c>
      <c r="L84" s="24">
        <f t="shared" si="8"/>
        <v>33131.279999999999</v>
      </c>
      <c r="M84" s="28">
        <f t="shared" si="9"/>
        <v>273</v>
      </c>
      <c r="N84" s="31">
        <f t="shared" si="10"/>
        <v>-2.8474576271186436E-2</v>
      </c>
      <c r="O84" s="24">
        <f>IF(J84="UNKNOWN","",INDEX(Cost_Rollup!$F$5:$F$16,MATCH(I84,Cost_Rollup!$A$5:$A$16,0)))</f>
        <v>78.893820000000005</v>
      </c>
      <c r="P84" s="24">
        <f t="shared" si="11"/>
        <v>21538.012860000003</v>
      </c>
      <c r="Q84" s="15" t="str">
        <f t="shared" si="12"/>
        <v/>
      </c>
      <c r="R84" s="15" t="str">
        <f t="shared" si="13"/>
        <v>OK</v>
      </c>
    </row>
    <row r="85" spans="1:18" x14ac:dyDescent="0.3">
      <c r="A85" s="12" t="s">
        <v>355</v>
      </c>
      <c r="B85" s="30">
        <v>45791</v>
      </c>
      <c r="C85" s="12" t="s">
        <v>257</v>
      </c>
      <c r="D85" s="12" t="s">
        <v>258</v>
      </c>
      <c r="E85" s="12" t="s">
        <v>70</v>
      </c>
      <c r="F85" s="12" t="s">
        <v>118</v>
      </c>
      <c r="G85" s="23">
        <v>7</v>
      </c>
      <c r="H85" s="22">
        <v>1289.54</v>
      </c>
      <c r="I85" s="15" t="str">
        <f t="shared" si="7"/>
        <v>PC-MH-1200B</v>
      </c>
      <c r="J85" s="15" t="str">
        <f>IFERROR(INDEX(Items!$C$2:$C$500,MATCH(I85,Items!$H$2:$H$500,0)),"UNKNOWN")</f>
        <v>Manhole</v>
      </c>
      <c r="K85" s="24">
        <f>IF(J85="UNKNOWN","",INDEX(Items!$F$2:$F$500,MATCH(I85,Items!$H$2:$H$500,0)))</f>
        <v>1240</v>
      </c>
      <c r="L85" s="24">
        <f t="shared" si="8"/>
        <v>9026.7799999999988</v>
      </c>
      <c r="M85" s="28">
        <f t="shared" si="9"/>
        <v>7</v>
      </c>
      <c r="N85" s="31">
        <f t="shared" si="10"/>
        <v>-3.9951612903225797E-2</v>
      </c>
      <c r="O85" s="24">
        <f>IF(J85="UNKNOWN","",INDEX(Cost_Rollup!$F$5:$F$16,MATCH(I85,Cost_Rollup!$A$5:$A$16,0)))</f>
        <v>753.42079999999999</v>
      </c>
      <c r="P85" s="24">
        <f t="shared" si="11"/>
        <v>5273.9456</v>
      </c>
      <c r="Q85" s="15" t="str">
        <f t="shared" si="12"/>
        <v/>
      </c>
      <c r="R85" s="15" t="str">
        <f t="shared" si="13"/>
        <v>OK</v>
      </c>
    </row>
    <row r="86" spans="1:18" x14ac:dyDescent="0.3">
      <c r="A86" s="12" t="s">
        <v>356</v>
      </c>
      <c r="B86" s="30">
        <v>45793</v>
      </c>
      <c r="C86" s="12" t="s">
        <v>260</v>
      </c>
      <c r="D86" s="12" t="s">
        <v>258</v>
      </c>
      <c r="E86" s="12" t="s">
        <v>70</v>
      </c>
      <c r="F86" s="12" t="s">
        <v>122</v>
      </c>
      <c r="G86" s="23">
        <v>9</v>
      </c>
      <c r="H86" s="22">
        <v>654.41999999999996</v>
      </c>
      <c r="I86" s="15" t="str">
        <f t="shared" si="7"/>
        <v>PC-CB-0600</v>
      </c>
      <c r="J86" s="15" t="str">
        <f>IFERROR(INDEX(Items!$C$2:$C$500,MATCH(I86,Items!$H$2:$H$500,0)),"UNKNOWN")</f>
        <v>Catch Basin</v>
      </c>
      <c r="K86" s="24">
        <f>IF(J86="UNKNOWN","",INDEX(Items!$F$2:$F$500,MATCH(I86,Items!$H$2:$H$500,0)))</f>
        <v>690</v>
      </c>
      <c r="L86" s="24">
        <f t="shared" si="8"/>
        <v>5889.78</v>
      </c>
      <c r="M86" s="28">
        <f t="shared" si="9"/>
        <v>9</v>
      </c>
      <c r="N86" s="31">
        <f t="shared" si="10"/>
        <v>5.1565217391304374E-2</v>
      </c>
      <c r="O86" s="24">
        <f>IF(J86="UNKNOWN","",INDEX(Cost_Rollup!$F$5:$F$16,MATCH(I86,Cost_Rollup!$A$5:$A$16,0)))</f>
        <v>471.04880000000003</v>
      </c>
      <c r="P86" s="24">
        <f t="shared" si="11"/>
        <v>4239.4392000000007</v>
      </c>
      <c r="Q86" s="15" t="str">
        <f t="shared" si="12"/>
        <v/>
      </c>
      <c r="R86" s="15" t="str">
        <f t="shared" si="13"/>
        <v>OK</v>
      </c>
    </row>
    <row r="87" spans="1:18" x14ac:dyDescent="0.3">
      <c r="A87" s="12" t="s">
        <v>357</v>
      </c>
      <c r="B87" s="30">
        <v>45796</v>
      </c>
      <c r="C87" s="12" t="s">
        <v>279</v>
      </c>
      <c r="D87" s="12" t="s">
        <v>280</v>
      </c>
      <c r="E87" s="12" t="s">
        <v>147</v>
      </c>
      <c r="F87" s="12" t="s">
        <v>122</v>
      </c>
      <c r="G87" s="23">
        <v>10</v>
      </c>
      <c r="H87" s="22">
        <v>695.06</v>
      </c>
      <c r="I87" s="15" t="str">
        <f t="shared" si="7"/>
        <v>PC-CB-0600</v>
      </c>
      <c r="J87" s="15" t="str">
        <f>IFERROR(INDEX(Items!$C$2:$C$500,MATCH(I87,Items!$H$2:$H$500,0)),"UNKNOWN")</f>
        <v>Catch Basin</v>
      </c>
      <c r="K87" s="24">
        <f>IF(J87="UNKNOWN","",INDEX(Items!$F$2:$F$500,MATCH(I87,Items!$H$2:$H$500,0)))</f>
        <v>690</v>
      </c>
      <c r="L87" s="24">
        <f t="shared" si="8"/>
        <v>6950.5999999999995</v>
      </c>
      <c r="M87" s="28">
        <f t="shared" si="9"/>
        <v>10</v>
      </c>
      <c r="N87" s="31">
        <f t="shared" si="10"/>
        <v>-7.3333333333331918E-3</v>
      </c>
      <c r="O87" s="24">
        <f>IF(J87="UNKNOWN","",INDEX(Cost_Rollup!$F$5:$F$16,MATCH(I87,Cost_Rollup!$A$5:$A$16,0)))</f>
        <v>471.04880000000003</v>
      </c>
      <c r="P87" s="24">
        <f t="shared" si="11"/>
        <v>4710.4880000000003</v>
      </c>
      <c r="Q87" s="15" t="str">
        <f t="shared" si="12"/>
        <v/>
      </c>
      <c r="R87" s="15" t="str">
        <f t="shared" si="13"/>
        <v>OK</v>
      </c>
    </row>
    <row r="88" spans="1:18" x14ac:dyDescent="0.3">
      <c r="A88" s="12" t="s">
        <v>358</v>
      </c>
      <c r="B88" s="30">
        <v>45798</v>
      </c>
      <c r="C88" s="12" t="s">
        <v>292</v>
      </c>
      <c r="D88" s="12" t="s">
        <v>277</v>
      </c>
      <c r="E88" s="12" t="s">
        <v>70</v>
      </c>
      <c r="F88" s="12" t="s">
        <v>135</v>
      </c>
      <c r="G88" s="23">
        <v>91</v>
      </c>
      <c r="H88" s="22">
        <v>141.41999999999999</v>
      </c>
      <c r="I88" s="15" t="str">
        <f t="shared" si="7"/>
        <v>PC-HC-250</v>
      </c>
      <c r="J88" s="15" t="str">
        <f>IFERROR(INDEX(Items!$C$2:$C$500,MATCH(I88,Items!$H$2:$H$500,0)),"UNKNOWN")</f>
        <v>Slab</v>
      </c>
      <c r="K88" s="24">
        <f>IF(J88="UNKNOWN","",INDEX(Items!$F$2:$F$500,MATCH(I88,Items!$H$2:$H$500,0)))</f>
        <v>136</v>
      </c>
      <c r="L88" s="24">
        <f t="shared" si="8"/>
        <v>12869.22</v>
      </c>
      <c r="M88" s="28">
        <f t="shared" si="9"/>
        <v>91</v>
      </c>
      <c r="N88" s="31">
        <f t="shared" si="10"/>
        <v>-3.9852941176470535E-2</v>
      </c>
      <c r="O88" s="24">
        <f>IF(J88="UNKNOWN","",INDEX(Cost_Rollup!$F$5:$F$16,MATCH(I88,Cost_Rollup!$A$5:$A$16,0)))</f>
        <v>92.940240000000003</v>
      </c>
      <c r="P88" s="24">
        <f t="shared" si="11"/>
        <v>8457.5618400000003</v>
      </c>
      <c r="Q88" s="15" t="str">
        <f t="shared" si="12"/>
        <v/>
      </c>
      <c r="R88" s="15" t="str">
        <f t="shared" si="13"/>
        <v>OK</v>
      </c>
    </row>
    <row r="89" spans="1:18" x14ac:dyDescent="0.3">
      <c r="A89" s="12" t="s">
        <v>359</v>
      </c>
      <c r="B89" s="30">
        <v>45800</v>
      </c>
      <c r="C89" s="12" t="s">
        <v>268</v>
      </c>
      <c r="D89" s="12" t="s">
        <v>269</v>
      </c>
      <c r="E89" s="12" t="s">
        <v>70</v>
      </c>
      <c r="F89" s="12" t="s">
        <v>129</v>
      </c>
      <c r="G89" s="23">
        <v>34</v>
      </c>
      <c r="H89" s="22">
        <v>2323.3200000000002</v>
      </c>
      <c r="I89" s="15" t="str">
        <f t="shared" si="7"/>
        <v>PC-BAR-SS60</v>
      </c>
      <c r="J89" s="15" t="str">
        <f>IFERROR(INDEX(Items!$C$2:$C$500,MATCH(I89,Items!$H$2:$H$500,0)),"UNKNOWN")</f>
        <v>Barrier</v>
      </c>
      <c r="K89" s="24">
        <f>IF(J89="UNKNOWN","",INDEX(Items!$F$2:$F$500,MATCH(I89,Items!$H$2:$H$500,0)))</f>
        <v>2350</v>
      </c>
      <c r="L89" s="24">
        <f t="shared" si="8"/>
        <v>78992.88</v>
      </c>
      <c r="M89" s="28">
        <f t="shared" si="9"/>
        <v>34</v>
      </c>
      <c r="N89" s="31">
        <f t="shared" si="10"/>
        <v>1.1353191489361647E-2</v>
      </c>
      <c r="O89" s="24">
        <f>IF(J89="UNKNOWN","",INDEX(Cost_Rollup!$F$5:$F$16,MATCH(I89,Cost_Rollup!$A$5:$A$16,0)))</f>
        <v>1583.5454</v>
      </c>
      <c r="P89" s="24">
        <f t="shared" si="11"/>
        <v>53840.543599999997</v>
      </c>
      <c r="Q89" s="15" t="str">
        <f t="shared" si="12"/>
        <v/>
      </c>
      <c r="R89" s="15" t="str">
        <f t="shared" si="13"/>
        <v>OK</v>
      </c>
    </row>
    <row r="90" spans="1:18" x14ac:dyDescent="0.3">
      <c r="A90" s="12" t="s">
        <v>360</v>
      </c>
      <c r="B90" s="30">
        <v>45801</v>
      </c>
      <c r="C90" s="12" t="s">
        <v>273</v>
      </c>
      <c r="D90" s="12" t="s">
        <v>274</v>
      </c>
      <c r="E90" s="12" t="s">
        <v>147</v>
      </c>
      <c r="F90" s="12" t="s">
        <v>103</v>
      </c>
      <c r="G90" s="23">
        <v>9</v>
      </c>
      <c r="H90" s="22">
        <v>625.29999999999995</v>
      </c>
      <c r="I90" s="15" t="str">
        <f t="shared" si="7"/>
        <v>PC-RCP-0600</v>
      </c>
      <c r="J90" s="15" t="str">
        <f>IFERROR(INDEX(Items!$C$2:$C$500,MATCH(I90,Items!$H$2:$H$500,0)),"UNKNOWN")</f>
        <v>Pipe</v>
      </c>
      <c r="K90" s="24">
        <f>IF(J90="UNKNOWN","",INDEX(Items!$F$2:$F$500,MATCH(I90,Items!$H$2:$H$500,0)))</f>
        <v>640</v>
      </c>
      <c r="L90" s="24">
        <f t="shared" si="8"/>
        <v>5627.7</v>
      </c>
      <c r="M90" s="28">
        <f t="shared" si="9"/>
        <v>9</v>
      </c>
      <c r="N90" s="31">
        <f t="shared" si="10"/>
        <v>2.2968750000000093E-2</v>
      </c>
      <c r="O90" s="24">
        <f>IF(J90="UNKNOWN","",INDEX(Cost_Rollup!$F$5:$F$16,MATCH(I90,Cost_Rollup!$A$5:$A$16,0)))</f>
        <v>429.94831999999997</v>
      </c>
      <c r="P90" s="24">
        <f t="shared" si="11"/>
        <v>3869.5348799999997</v>
      </c>
      <c r="Q90" s="15" t="str">
        <f t="shared" si="12"/>
        <v/>
      </c>
      <c r="R90" s="15" t="str">
        <f t="shared" si="13"/>
        <v>OK</v>
      </c>
    </row>
    <row r="91" spans="1:18" x14ac:dyDescent="0.3">
      <c r="A91" s="12" t="s">
        <v>361</v>
      </c>
      <c r="B91" s="30">
        <v>45801</v>
      </c>
      <c r="C91" s="12" t="s">
        <v>279</v>
      </c>
      <c r="D91" s="12" t="s">
        <v>280</v>
      </c>
      <c r="E91" s="12" t="s">
        <v>147</v>
      </c>
      <c r="F91" s="12" t="s">
        <v>110</v>
      </c>
      <c r="G91" s="23">
        <v>21</v>
      </c>
      <c r="H91" s="22">
        <v>1880.53</v>
      </c>
      <c r="I91" s="15" t="str">
        <f t="shared" si="7"/>
        <v>PC-RCP-1200</v>
      </c>
      <c r="J91" s="15" t="str">
        <f>IFERROR(INDEX(Items!$C$2:$C$500,MATCH(I91,Items!$H$2:$H$500,0)),"UNKNOWN")</f>
        <v>Pipe</v>
      </c>
      <c r="K91" s="24">
        <f>IF(J91="UNKNOWN","",INDEX(Items!$F$2:$F$500,MATCH(I91,Items!$H$2:$H$500,0)))</f>
        <v>1890</v>
      </c>
      <c r="L91" s="24">
        <f t="shared" si="8"/>
        <v>39491.129999999997</v>
      </c>
      <c r="M91" s="28">
        <f t="shared" si="9"/>
        <v>21</v>
      </c>
      <c r="N91" s="31">
        <f t="shared" si="10"/>
        <v>5.0105820105820209E-3</v>
      </c>
      <c r="O91" s="24">
        <f>IF(J91="UNKNOWN","",INDEX(Cost_Rollup!$F$5:$F$16,MATCH(I91,Cost_Rollup!$A$5:$A$16,0)))</f>
        <v>1206.4054000000001</v>
      </c>
      <c r="P91" s="24">
        <f t="shared" si="11"/>
        <v>25334.513400000003</v>
      </c>
      <c r="Q91" s="15" t="str">
        <f t="shared" si="12"/>
        <v/>
      </c>
      <c r="R91" s="15" t="str">
        <f t="shared" si="13"/>
        <v>OK</v>
      </c>
    </row>
    <row r="92" spans="1:18" x14ac:dyDescent="0.3">
      <c r="A92" s="12" t="s">
        <v>362</v>
      </c>
      <c r="B92" s="30">
        <v>45803</v>
      </c>
      <c r="C92" s="12" t="s">
        <v>279</v>
      </c>
      <c r="D92" s="12" t="s">
        <v>280</v>
      </c>
      <c r="E92" s="12" t="s">
        <v>147</v>
      </c>
      <c r="F92" s="12" t="s">
        <v>122</v>
      </c>
      <c r="G92" s="23">
        <v>6</v>
      </c>
      <c r="H92" s="22">
        <v>645.24</v>
      </c>
      <c r="I92" s="15" t="str">
        <f t="shared" si="7"/>
        <v>PC-CB-0600</v>
      </c>
      <c r="J92" s="15" t="str">
        <f>IFERROR(INDEX(Items!$C$2:$C$500,MATCH(I92,Items!$H$2:$H$500,0)),"UNKNOWN")</f>
        <v>Catch Basin</v>
      </c>
      <c r="K92" s="24">
        <f>IF(J92="UNKNOWN","",INDEX(Items!$F$2:$F$500,MATCH(I92,Items!$H$2:$H$500,0)))</f>
        <v>690</v>
      </c>
      <c r="L92" s="24">
        <f t="shared" si="8"/>
        <v>3871.44</v>
      </c>
      <c r="M92" s="28">
        <f t="shared" si="9"/>
        <v>6</v>
      </c>
      <c r="N92" s="31">
        <f t="shared" si="10"/>
        <v>6.486956521739129E-2</v>
      </c>
      <c r="O92" s="24">
        <f>IF(J92="UNKNOWN","",INDEX(Cost_Rollup!$F$5:$F$16,MATCH(I92,Cost_Rollup!$A$5:$A$16,0)))</f>
        <v>471.04880000000003</v>
      </c>
      <c r="P92" s="24">
        <f t="shared" si="11"/>
        <v>2826.2928000000002</v>
      </c>
      <c r="Q92" s="15" t="str">
        <f t="shared" si="12"/>
        <v/>
      </c>
      <c r="R92" s="15" t="str">
        <f t="shared" si="13"/>
        <v>OK</v>
      </c>
    </row>
    <row r="93" spans="1:18" x14ac:dyDescent="0.3">
      <c r="A93" s="12" t="s">
        <v>363</v>
      </c>
      <c r="B93" s="30">
        <v>45807</v>
      </c>
      <c r="C93" s="12" t="s">
        <v>257</v>
      </c>
      <c r="D93" s="12" t="s">
        <v>258</v>
      </c>
      <c r="E93" s="12" t="s">
        <v>70</v>
      </c>
      <c r="F93" s="12" t="s">
        <v>115</v>
      </c>
      <c r="G93" s="23">
        <v>2</v>
      </c>
      <c r="H93" s="22">
        <v>922.74</v>
      </c>
      <c r="I93" s="15" t="str">
        <f t="shared" si="7"/>
        <v>PC-MH-1050B</v>
      </c>
      <c r="J93" s="15" t="str">
        <f>IFERROR(INDEX(Items!$C$2:$C$500,MATCH(I93,Items!$H$2:$H$500,0)),"UNKNOWN")</f>
        <v>Manhole</v>
      </c>
      <c r="K93" s="24">
        <f>IF(J93="UNKNOWN","",INDEX(Items!$F$2:$F$500,MATCH(I93,Items!$H$2:$H$500,0)))</f>
        <v>980</v>
      </c>
      <c r="L93" s="24">
        <f t="shared" si="8"/>
        <v>1845.48</v>
      </c>
      <c r="M93" s="28">
        <f t="shared" si="9"/>
        <v>2</v>
      </c>
      <c r="N93" s="31">
        <f t="shared" si="10"/>
        <v>5.8428571428571385E-2</v>
      </c>
      <c r="O93" s="24">
        <f>IF(J93="UNKNOWN","",INDEX(Cost_Rollup!$F$5:$F$16,MATCH(I93,Cost_Rollup!$A$5:$A$16,0)))</f>
        <v>635.43299999999999</v>
      </c>
      <c r="P93" s="24">
        <f t="shared" si="11"/>
        <v>1270.866</v>
      </c>
      <c r="Q93" s="15" t="str">
        <f t="shared" si="12"/>
        <v/>
      </c>
      <c r="R93" s="15" t="str">
        <f t="shared" si="13"/>
        <v>OK</v>
      </c>
    </row>
    <row r="94" spans="1:18" x14ac:dyDescent="0.3">
      <c r="A94" s="12" t="s">
        <v>364</v>
      </c>
      <c r="B94" s="30">
        <v>45809</v>
      </c>
      <c r="C94" s="12" t="s">
        <v>257</v>
      </c>
      <c r="D94" s="12" t="s">
        <v>258</v>
      </c>
      <c r="E94" s="12" t="s">
        <v>70</v>
      </c>
      <c r="F94" s="12" t="s">
        <v>110</v>
      </c>
      <c r="G94" s="23">
        <v>16</v>
      </c>
      <c r="H94" s="22">
        <v>1750.93</v>
      </c>
      <c r="I94" s="15" t="str">
        <f t="shared" si="7"/>
        <v>PC-RCP-1200</v>
      </c>
      <c r="J94" s="15" t="str">
        <f>IFERROR(INDEX(Items!$C$2:$C$500,MATCH(I94,Items!$H$2:$H$500,0)),"UNKNOWN")</f>
        <v>Pipe</v>
      </c>
      <c r="K94" s="24">
        <f>IF(J94="UNKNOWN","",INDEX(Items!$F$2:$F$500,MATCH(I94,Items!$H$2:$H$500,0)))</f>
        <v>1890</v>
      </c>
      <c r="L94" s="24">
        <f t="shared" si="8"/>
        <v>28014.880000000001</v>
      </c>
      <c r="M94" s="28">
        <f t="shared" si="9"/>
        <v>16</v>
      </c>
      <c r="N94" s="31">
        <f t="shared" si="10"/>
        <v>7.3582010582010526E-2</v>
      </c>
      <c r="O94" s="24">
        <f>IF(J94="UNKNOWN","",INDEX(Cost_Rollup!$F$5:$F$16,MATCH(I94,Cost_Rollup!$A$5:$A$16,0)))</f>
        <v>1206.4054000000001</v>
      </c>
      <c r="P94" s="24">
        <f t="shared" si="11"/>
        <v>19302.486400000002</v>
      </c>
      <c r="Q94" s="15" t="str">
        <f t="shared" si="12"/>
        <v/>
      </c>
      <c r="R94" s="15" t="str">
        <f t="shared" si="13"/>
        <v>OK</v>
      </c>
    </row>
    <row r="95" spans="1:18" x14ac:dyDescent="0.3">
      <c r="A95" s="12" t="s">
        <v>365</v>
      </c>
      <c r="B95" s="30">
        <v>45815</v>
      </c>
      <c r="C95" s="12" t="s">
        <v>279</v>
      </c>
      <c r="D95" s="12" t="s">
        <v>280</v>
      </c>
      <c r="E95" s="12" t="s">
        <v>147</v>
      </c>
      <c r="F95" s="12" t="s">
        <v>129</v>
      </c>
      <c r="G95" s="23">
        <v>10</v>
      </c>
      <c r="H95" s="22">
        <v>2395.65</v>
      </c>
      <c r="I95" s="15" t="str">
        <f t="shared" si="7"/>
        <v>PC-BAR-SS60</v>
      </c>
      <c r="J95" s="15" t="str">
        <f>IFERROR(INDEX(Items!$C$2:$C$500,MATCH(I95,Items!$H$2:$H$500,0)),"UNKNOWN")</f>
        <v>Barrier</v>
      </c>
      <c r="K95" s="24">
        <f>IF(J95="UNKNOWN","",INDEX(Items!$F$2:$F$500,MATCH(I95,Items!$H$2:$H$500,0)))</f>
        <v>2350</v>
      </c>
      <c r="L95" s="24">
        <f t="shared" si="8"/>
        <v>23956.5</v>
      </c>
      <c r="M95" s="28">
        <f t="shared" si="9"/>
        <v>10</v>
      </c>
      <c r="N95" s="31">
        <f t="shared" si="10"/>
        <v>-1.9425531914893712E-2</v>
      </c>
      <c r="O95" s="24">
        <f>IF(J95="UNKNOWN","",INDEX(Cost_Rollup!$F$5:$F$16,MATCH(I95,Cost_Rollup!$A$5:$A$16,0)))</f>
        <v>1583.5454</v>
      </c>
      <c r="P95" s="24">
        <f t="shared" si="11"/>
        <v>15835.454</v>
      </c>
      <c r="Q95" s="15" t="str">
        <f t="shared" si="12"/>
        <v/>
      </c>
      <c r="R95" s="15" t="str">
        <f t="shared" si="13"/>
        <v>OK</v>
      </c>
    </row>
    <row r="96" spans="1:18" x14ac:dyDescent="0.3">
      <c r="A96" s="12" t="s">
        <v>366</v>
      </c>
      <c r="B96" s="30">
        <v>45820</v>
      </c>
      <c r="C96" s="12" t="s">
        <v>268</v>
      </c>
      <c r="D96" s="12" t="s">
        <v>269</v>
      </c>
      <c r="E96" s="12" t="s">
        <v>70</v>
      </c>
      <c r="F96" s="12" t="s">
        <v>120</v>
      </c>
      <c r="G96" s="23">
        <v>2</v>
      </c>
      <c r="H96" s="22">
        <v>518.59</v>
      </c>
      <c r="I96" s="15" t="str">
        <f t="shared" si="7"/>
        <v>PC-MH-1200R</v>
      </c>
      <c r="J96" s="15" t="str">
        <f>IFERROR(INDEX(Items!$C$2:$C$500,MATCH(I96,Items!$H$2:$H$500,0)),"UNKNOWN")</f>
        <v>Manhole</v>
      </c>
      <c r="K96" s="24">
        <f>IF(J96="UNKNOWN","",INDEX(Items!$F$2:$F$500,MATCH(I96,Items!$H$2:$H$500,0)))</f>
        <v>520</v>
      </c>
      <c r="L96" s="24">
        <f t="shared" si="8"/>
        <v>1037.18</v>
      </c>
      <c r="M96" s="28">
        <f t="shared" si="9"/>
        <v>2</v>
      </c>
      <c r="N96" s="31">
        <f t="shared" si="10"/>
        <v>2.7115384615383764E-3</v>
      </c>
      <c r="O96" s="24">
        <f>IF(J96="UNKNOWN","",INDEX(Cost_Rollup!$F$5:$F$16,MATCH(I96,Cost_Rollup!$A$5:$A$16,0)))</f>
        <v>381.98428000000001</v>
      </c>
      <c r="P96" s="24">
        <f t="shared" si="11"/>
        <v>763.96856000000002</v>
      </c>
      <c r="Q96" s="15" t="str">
        <f t="shared" si="12"/>
        <v/>
      </c>
      <c r="R96" s="15" t="str">
        <f t="shared" si="13"/>
        <v>OK</v>
      </c>
    </row>
    <row r="97" spans="1:18" x14ac:dyDescent="0.3">
      <c r="A97" s="12" t="s">
        <v>367</v>
      </c>
      <c r="B97" s="30">
        <v>45823</v>
      </c>
      <c r="C97" s="12" t="s">
        <v>285</v>
      </c>
      <c r="D97" s="12" t="s">
        <v>266</v>
      </c>
      <c r="E97" s="12" t="s">
        <v>70</v>
      </c>
      <c r="F97" s="12" t="s">
        <v>129</v>
      </c>
      <c r="G97" s="23">
        <v>36</v>
      </c>
      <c r="H97" s="22">
        <v>2341.9299999999998</v>
      </c>
      <c r="I97" s="15" t="str">
        <f t="shared" si="7"/>
        <v>PC-BAR-SS60</v>
      </c>
      <c r="J97" s="15" t="str">
        <f>IFERROR(INDEX(Items!$C$2:$C$500,MATCH(I97,Items!$H$2:$H$500,0)),"UNKNOWN")</f>
        <v>Barrier</v>
      </c>
      <c r="K97" s="24">
        <f>IF(J97="UNKNOWN","",INDEX(Items!$F$2:$F$500,MATCH(I97,Items!$H$2:$H$500,0)))</f>
        <v>2350</v>
      </c>
      <c r="L97" s="24">
        <f t="shared" si="8"/>
        <v>84309.48</v>
      </c>
      <c r="M97" s="28">
        <f t="shared" si="9"/>
        <v>36</v>
      </c>
      <c r="N97" s="31">
        <f t="shared" si="10"/>
        <v>3.4340425531915741E-3</v>
      </c>
      <c r="O97" s="24">
        <f>IF(J97="UNKNOWN","",INDEX(Cost_Rollup!$F$5:$F$16,MATCH(I97,Cost_Rollup!$A$5:$A$16,0)))</f>
        <v>1583.5454</v>
      </c>
      <c r="P97" s="24">
        <f t="shared" si="11"/>
        <v>57007.634399999995</v>
      </c>
      <c r="Q97" s="15" t="str">
        <f t="shared" si="12"/>
        <v/>
      </c>
      <c r="R97" s="15" t="str">
        <f t="shared" si="13"/>
        <v>OK</v>
      </c>
    </row>
    <row r="98" spans="1:18" x14ac:dyDescent="0.3">
      <c r="A98" s="12" t="s">
        <v>368</v>
      </c>
      <c r="B98" s="30">
        <v>45823</v>
      </c>
      <c r="C98" s="12" t="s">
        <v>268</v>
      </c>
      <c r="D98" s="12" t="s">
        <v>269</v>
      </c>
      <c r="E98" s="12" t="s">
        <v>70</v>
      </c>
      <c r="F98" s="12" t="s">
        <v>129</v>
      </c>
      <c r="G98" s="23">
        <v>9</v>
      </c>
      <c r="H98" s="22">
        <v>2210.75</v>
      </c>
      <c r="I98" s="15" t="str">
        <f t="shared" si="7"/>
        <v>PC-BAR-SS60</v>
      </c>
      <c r="J98" s="15" t="str">
        <f>IFERROR(INDEX(Items!$C$2:$C$500,MATCH(I98,Items!$H$2:$H$500,0)),"UNKNOWN")</f>
        <v>Barrier</v>
      </c>
      <c r="K98" s="24">
        <f>IF(J98="UNKNOWN","",INDEX(Items!$F$2:$F$500,MATCH(I98,Items!$H$2:$H$500,0)))</f>
        <v>2350</v>
      </c>
      <c r="L98" s="24">
        <f t="shared" si="8"/>
        <v>19896.75</v>
      </c>
      <c r="M98" s="28">
        <f t="shared" si="9"/>
        <v>9</v>
      </c>
      <c r="N98" s="31">
        <f t="shared" si="10"/>
        <v>5.9255319148936225E-2</v>
      </c>
      <c r="O98" s="24">
        <f>IF(J98="UNKNOWN","",INDEX(Cost_Rollup!$F$5:$F$16,MATCH(I98,Cost_Rollup!$A$5:$A$16,0)))</f>
        <v>1583.5454</v>
      </c>
      <c r="P98" s="24">
        <f t="shared" si="11"/>
        <v>14251.908599999999</v>
      </c>
      <c r="Q98" s="15" t="str">
        <f t="shared" si="12"/>
        <v/>
      </c>
      <c r="R98" s="15" t="str">
        <f t="shared" si="13"/>
        <v>OK</v>
      </c>
    </row>
    <row r="99" spans="1:18" x14ac:dyDescent="0.3">
      <c r="A99" s="12" t="s">
        <v>369</v>
      </c>
      <c r="B99" s="30">
        <v>45823</v>
      </c>
      <c r="C99" s="12" t="s">
        <v>273</v>
      </c>
      <c r="D99" s="12" t="s">
        <v>274</v>
      </c>
      <c r="E99" s="12" t="s">
        <v>147</v>
      </c>
      <c r="F99" s="12" t="s">
        <v>103</v>
      </c>
      <c r="G99" s="23">
        <v>19</v>
      </c>
      <c r="H99" s="22">
        <v>598.33000000000004</v>
      </c>
      <c r="I99" s="15" t="str">
        <f t="shared" si="7"/>
        <v>PC-RCP-0600</v>
      </c>
      <c r="J99" s="15" t="str">
        <f>IFERROR(INDEX(Items!$C$2:$C$500,MATCH(I99,Items!$H$2:$H$500,0)),"UNKNOWN")</f>
        <v>Pipe</v>
      </c>
      <c r="K99" s="24">
        <f>IF(J99="UNKNOWN","",INDEX(Items!$F$2:$F$500,MATCH(I99,Items!$H$2:$H$500,0)))</f>
        <v>640</v>
      </c>
      <c r="L99" s="24">
        <f t="shared" si="8"/>
        <v>11368.27</v>
      </c>
      <c r="M99" s="28">
        <f t="shared" si="9"/>
        <v>19</v>
      </c>
      <c r="N99" s="31">
        <f t="shared" si="10"/>
        <v>6.5109374999999914E-2</v>
      </c>
      <c r="O99" s="24">
        <f>IF(J99="UNKNOWN","",INDEX(Cost_Rollup!$F$5:$F$16,MATCH(I99,Cost_Rollup!$A$5:$A$16,0)))</f>
        <v>429.94831999999997</v>
      </c>
      <c r="P99" s="24">
        <f t="shared" si="11"/>
        <v>8169.0180799999998</v>
      </c>
      <c r="Q99" s="15" t="str">
        <f t="shared" si="12"/>
        <v/>
      </c>
      <c r="R99" s="15" t="str">
        <f t="shared" si="13"/>
        <v>OK</v>
      </c>
    </row>
    <row r="100" spans="1:18" x14ac:dyDescent="0.3">
      <c r="A100" s="12" t="s">
        <v>370</v>
      </c>
      <c r="B100" s="30">
        <v>45824</v>
      </c>
      <c r="C100" s="12" t="s">
        <v>292</v>
      </c>
      <c r="D100" s="12" t="s">
        <v>277</v>
      </c>
      <c r="E100" s="12" t="s">
        <v>70</v>
      </c>
      <c r="F100" s="12" t="s">
        <v>115</v>
      </c>
      <c r="G100" s="23">
        <v>5</v>
      </c>
      <c r="H100" s="22">
        <v>890.63</v>
      </c>
      <c r="I100" s="15" t="str">
        <f t="shared" si="7"/>
        <v>PC-MH-1050B</v>
      </c>
      <c r="J100" s="15" t="str">
        <f>IFERROR(INDEX(Items!$C$2:$C$500,MATCH(I100,Items!$H$2:$H$500,0)),"UNKNOWN")</f>
        <v>Manhole</v>
      </c>
      <c r="K100" s="24">
        <f>IF(J100="UNKNOWN","",INDEX(Items!$F$2:$F$500,MATCH(I100,Items!$H$2:$H$500,0)))</f>
        <v>980</v>
      </c>
      <c r="L100" s="24">
        <f t="shared" si="8"/>
        <v>4453.1499999999996</v>
      </c>
      <c r="M100" s="28">
        <f t="shared" si="9"/>
        <v>5</v>
      </c>
      <c r="N100" s="31">
        <f t="shared" si="10"/>
        <v>9.1193877551020375E-2</v>
      </c>
      <c r="O100" s="24">
        <f>IF(J100="UNKNOWN","",INDEX(Cost_Rollup!$F$5:$F$16,MATCH(I100,Cost_Rollup!$A$5:$A$16,0)))</f>
        <v>635.43299999999999</v>
      </c>
      <c r="P100" s="24">
        <f t="shared" si="11"/>
        <v>3177.165</v>
      </c>
      <c r="Q100" s="15" t="str">
        <f t="shared" si="12"/>
        <v/>
      </c>
      <c r="R100" s="15" t="str">
        <f t="shared" si="13"/>
        <v>OK</v>
      </c>
    </row>
    <row r="101" spans="1:18" x14ac:dyDescent="0.3">
      <c r="A101" s="12" t="s">
        <v>371</v>
      </c>
      <c r="B101" s="30">
        <v>45825</v>
      </c>
      <c r="C101" s="12" t="s">
        <v>279</v>
      </c>
      <c r="D101" s="12" t="s">
        <v>280</v>
      </c>
      <c r="E101" s="12" t="s">
        <v>147</v>
      </c>
      <c r="F101" s="12" t="s">
        <v>108</v>
      </c>
      <c r="G101" s="23">
        <v>18</v>
      </c>
      <c r="H101" s="22">
        <v>1145.98</v>
      </c>
      <c r="I101" s="15" t="str">
        <f t="shared" si="7"/>
        <v>PC-RCP-0900</v>
      </c>
      <c r="J101" s="15" t="str">
        <f>IFERROR(INDEX(Items!$C$2:$C$500,MATCH(I101,Items!$H$2:$H$500,0)),"UNKNOWN")</f>
        <v>Pipe</v>
      </c>
      <c r="K101" s="24">
        <f>IF(J101="UNKNOWN","",INDEX(Items!$F$2:$F$500,MATCH(I101,Items!$H$2:$H$500,0)))</f>
        <v>1150</v>
      </c>
      <c r="L101" s="24">
        <f t="shared" si="8"/>
        <v>20627.64</v>
      </c>
      <c r="M101" s="28">
        <f t="shared" si="9"/>
        <v>18</v>
      </c>
      <c r="N101" s="31">
        <f t="shared" si="10"/>
        <v>3.4956521739130109E-3</v>
      </c>
      <c r="O101" s="24">
        <f>IF(J101="UNKNOWN","",INDEX(Cost_Rollup!$F$5:$F$16,MATCH(I101,Cost_Rollup!$A$5:$A$16,0)))</f>
        <v>750.43372656869997</v>
      </c>
      <c r="P101" s="24">
        <f t="shared" si="11"/>
        <v>13507.807078236599</v>
      </c>
      <c r="Q101" s="15" t="str">
        <f t="shared" si="12"/>
        <v/>
      </c>
      <c r="R101" s="15" t="str">
        <f t="shared" si="13"/>
        <v>OK</v>
      </c>
    </row>
    <row r="102" spans="1:18" x14ac:dyDescent="0.3">
      <c r="A102" s="12" t="s">
        <v>372</v>
      </c>
      <c r="B102" s="30">
        <v>45829</v>
      </c>
      <c r="C102" s="12" t="s">
        <v>276</v>
      </c>
      <c r="D102" s="12" t="s">
        <v>277</v>
      </c>
      <c r="E102" s="12" t="s">
        <v>70</v>
      </c>
      <c r="F102" s="12" t="s">
        <v>122</v>
      </c>
      <c r="G102" s="23">
        <v>9</v>
      </c>
      <c r="H102" s="22">
        <v>632.6</v>
      </c>
      <c r="I102" s="15" t="str">
        <f t="shared" si="7"/>
        <v>PC-CB-0600</v>
      </c>
      <c r="J102" s="15" t="str">
        <f>IFERROR(INDEX(Items!$C$2:$C$500,MATCH(I102,Items!$H$2:$H$500,0)),"UNKNOWN")</f>
        <v>Catch Basin</v>
      </c>
      <c r="K102" s="24">
        <f>IF(J102="UNKNOWN","",INDEX(Items!$F$2:$F$500,MATCH(I102,Items!$H$2:$H$500,0)))</f>
        <v>690</v>
      </c>
      <c r="L102" s="24">
        <f t="shared" si="8"/>
        <v>5693.4000000000005</v>
      </c>
      <c r="M102" s="28">
        <f t="shared" si="9"/>
        <v>9</v>
      </c>
      <c r="N102" s="31">
        <f t="shared" si="10"/>
        <v>8.3188405797101406E-2</v>
      </c>
      <c r="O102" s="24">
        <f>IF(J102="UNKNOWN","",INDEX(Cost_Rollup!$F$5:$F$16,MATCH(I102,Cost_Rollup!$A$5:$A$16,0)))</f>
        <v>471.04880000000003</v>
      </c>
      <c r="P102" s="24">
        <f t="shared" si="11"/>
        <v>4239.4392000000007</v>
      </c>
      <c r="Q102" s="15" t="str">
        <f t="shared" si="12"/>
        <v/>
      </c>
      <c r="R102" s="15" t="str">
        <f t="shared" si="13"/>
        <v>OK</v>
      </c>
    </row>
    <row r="103" spans="1:18" x14ac:dyDescent="0.3">
      <c r="A103" s="12" t="s">
        <v>373</v>
      </c>
      <c r="B103" s="30">
        <v>45829</v>
      </c>
      <c r="C103" s="12" t="s">
        <v>257</v>
      </c>
      <c r="D103" s="12" t="s">
        <v>258</v>
      </c>
      <c r="E103" s="12" t="s">
        <v>70</v>
      </c>
      <c r="F103" s="12" t="s">
        <v>131</v>
      </c>
      <c r="G103" s="23">
        <v>240</v>
      </c>
      <c r="H103" s="22">
        <v>115</v>
      </c>
      <c r="I103" s="15" t="str">
        <f t="shared" si="7"/>
        <v>PC-HC-200</v>
      </c>
      <c r="J103" s="15" t="str">
        <f>IFERROR(INDEX(Items!$C$2:$C$500,MATCH(I103,Items!$H$2:$H$500,0)),"UNKNOWN")</f>
        <v>Slab</v>
      </c>
      <c r="K103" s="24">
        <f>IF(J103="UNKNOWN","",INDEX(Items!$F$2:$F$500,MATCH(I103,Items!$H$2:$H$500,0)))</f>
        <v>118</v>
      </c>
      <c r="L103" s="24">
        <f t="shared" si="8"/>
        <v>27600</v>
      </c>
      <c r="M103" s="28">
        <f t="shared" si="9"/>
        <v>240</v>
      </c>
      <c r="N103" s="31">
        <f t="shared" si="10"/>
        <v>2.5423728813559365E-2</v>
      </c>
      <c r="O103" s="24">
        <f>IF(J103="UNKNOWN","",INDEX(Cost_Rollup!$F$5:$F$16,MATCH(I103,Cost_Rollup!$A$5:$A$16,0)))</f>
        <v>78.893820000000005</v>
      </c>
      <c r="P103" s="24">
        <f t="shared" si="11"/>
        <v>18934.516800000001</v>
      </c>
      <c r="Q103" s="15" t="str">
        <f t="shared" si="12"/>
        <v/>
      </c>
      <c r="R103" s="15" t="str">
        <f t="shared" si="13"/>
        <v>OK</v>
      </c>
    </row>
    <row r="104" spans="1:18" x14ac:dyDescent="0.3">
      <c r="A104" s="12" t="s">
        <v>374</v>
      </c>
      <c r="B104" s="30">
        <v>45830</v>
      </c>
      <c r="C104" s="12" t="s">
        <v>268</v>
      </c>
      <c r="D104" s="12" t="s">
        <v>269</v>
      </c>
      <c r="E104" s="12" t="s">
        <v>70</v>
      </c>
      <c r="F104" s="12" t="s">
        <v>122</v>
      </c>
      <c r="G104" s="23">
        <v>7</v>
      </c>
      <c r="H104" s="22">
        <v>709.29</v>
      </c>
      <c r="I104" s="15" t="str">
        <f t="shared" si="7"/>
        <v>PC-CB-0600</v>
      </c>
      <c r="J104" s="15" t="str">
        <f>IFERROR(INDEX(Items!$C$2:$C$500,MATCH(I104,Items!$H$2:$H$500,0)),"UNKNOWN")</f>
        <v>Catch Basin</v>
      </c>
      <c r="K104" s="24">
        <f>IF(J104="UNKNOWN","",INDEX(Items!$F$2:$F$500,MATCH(I104,Items!$H$2:$H$500,0)))</f>
        <v>690</v>
      </c>
      <c r="L104" s="24">
        <f t="shared" si="8"/>
        <v>4965.03</v>
      </c>
      <c r="M104" s="28">
        <f t="shared" si="9"/>
        <v>7</v>
      </c>
      <c r="N104" s="31">
        <f t="shared" si="10"/>
        <v>-2.7956521739130435E-2</v>
      </c>
      <c r="O104" s="24">
        <f>IF(J104="UNKNOWN","",INDEX(Cost_Rollup!$F$5:$F$16,MATCH(I104,Cost_Rollup!$A$5:$A$16,0)))</f>
        <v>471.04880000000003</v>
      </c>
      <c r="P104" s="24">
        <f t="shared" si="11"/>
        <v>3297.3416000000002</v>
      </c>
      <c r="Q104" s="15" t="str">
        <f t="shared" si="12"/>
        <v/>
      </c>
      <c r="R104" s="15" t="str">
        <f t="shared" si="13"/>
        <v>OK</v>
      </c>
    </row>
    <row r="105" spans="1:18" x14ac:dyDescent="0.3">
      <c r="A105" s="12" t="s">
        <v>375</v>
      </c>
      <c r="B105" s="30">
        <v>45830</v>
      </c>
      <c r="C105" s="12" t="s">
        <v>279</v>
      </c>
      <c r="D105" s="12" t="s">
        <v>280</v>
      </c>
      <c r="E105" s="12" t="s">
        <v>147</v>
      </c>
      <c r="F105" s="12" t="s">
        <v>108</v>
      </c>
      <c r="G105" s="23">
        <v>30</v>
      </c>
      <c r="H105" s="22">
        <v>1151.99</v>
      </c>
      <c r="I105" s="15" t="str">
        <f t="shared" si="7"/>
        <v>PC-RCP-0900</v>
      </c>
      <c r="J105" s="15" t="str">
        <f>IFERROR(INDEX(Items!$C$2:$C$500,MATCH(I105,Items!$H$2:$H$500,0)),"UNKNOWN")</f>
        <v>Pipe</v>
      </c>
      <c r="K105" s="24">
        <f>IF(J105="UNKNOWN","",INDEX(Items!$F$2:$F$500,MATCH(I105,Items!$H$2:$H$500,0)))</f>
        <v>1150</v>
      </c>
      <c r="L105" s="24">
        <f t="shared" si="8"/>
        <v>34559.699999999997</v>
      </c>
      <c r="M105" s="28">
        <f t="shared" si="9"/>
        <v>30</v>
      </c>
      <c r="N105" s="31">
        <f t="shared" si="10"/>
        <v>-1.730434782608814E-3</v>
      </c>
      <c r="O105" s="24">
        <f>IF(J105="UNKNOWN","",INDEX(Cost_Rollup!$F$5:$F$16,MATCH(I105,Cost_Rollup!$A$5:$A$16,0)))</f>
        <v>750.43372656869997</v>
      </c>
      <c r="P105" s="24">
        <f t="shared" si="11"/>
        <v>22513.011797061001</v>
      </c>
      <c r="Q105" s="15" t="str">
        <f t="shared" si="12"/>
        <v/>
      </c>
      <c r="R105" s="15" t="str">
        <f t="shared" si="13"/>
        <v>OK</v>
      </c>
    </row>
    <row r="106" spans="1:18" x14ac:dyDescent="0.3">
      <c r="A106" s="12" t="s">
        <v>376</v>
      </c>
      <c r="B106" s="30">
        <v>45830</v>
      </c>
      <c r="C106" s="12" t="s">
        <v>268</v>
      </c>
      <c r="D106" s="12" t="s">
        <v>269</v>
      </c>
      <c r="E106" s="12" t="s">
        <v>70</v>
      </c>
      <c r="F106" s="12" t="s">
        <v>103</v>
      </c>
      <c r="G106" s="23">
        <v>24</v>
      </c>
      <c r="H106" s="22">
        <v>619.9</v>
      </c>
      <c r="I106" s="15" t="str">
        <f t="shared" si="7"/>
        <v>PC-RCP-0600</v>
      </c>
      <c r="J106" s="15" t="str">
        <f>IFERROR(INDEX(Items!$C$2:$C$500,MATCH(I106,Items!$H$2:$H$500,0)),"UNKNOWN")</f>
        <v>Pipe</v>
      </c>
      <c r="K106" s="24">
        <f>IF(J106="UNKNOWN","",INDEX(Items!$F$2:$F$500,MATCH(I106,Items!$H$2:$H$500,0)))</f>
        <v>640</v>
      </c>
      <c r="L106" s="24">
        <f t="shared" si="8"/>
        <v>14877.599999999999</v>
      </c>
      <c r="M106" s="28">
        <f t="shared" si="9"/>
        <v>24</v>
      </c>
      <c r="N106" s="31">
        <f t="shared" si="10"/>
        <v>3.140625000000008E-2</v>
      </c>
      <c r="O106" s="24">
        <f>IF(J106="UNKNOWN","",INDEX(Cost_Rollup!$F$5:$F$16,MATCH(I106,Cost_Rollup!$A$5:$A$16,0)))</f>
        <v>429.94831999999997</v>
      </c>
      <c r="P106" s="24">
        <f t="shared" si="11"/>
        <v>10318.759679999999</v>
      </c>
      <c r="Q106" s="15" t="str">
        <f t="shared" si="12"/>
        <v/>
      </c>
      <c r="R106" s="15" t="str">
        <f t="shared" si="13"/>
        <v>OK</v>
      </c>
    </row>
    <row r="107" spans="1:18" x14ac:dyDescent="0.3">
      <c r="A107" s="12" t="s">
        <v>377</v>
      </c>
      <c r="B107" s="30">
        <v>45831</v>
      </c>
      <c r="C107" s="12" t="s">
        <v>260</v>
      </c>
      <c r="D107" s="12" t="s">
        <v>258</v>
      </c>
      <c r="E107" s="12" t="s">
        <v>70</v>
      </c>
      <c r="F107" s="12" t="s">
        <v>118</v>
      </c>
      <c r="G107" s="23">
        <v>5</v>
      </c>
      <c r="H107" s="22">
        <v>1262.03</v>
      </c>
      <c r="I107" s="15" t="str">
        <f t="shared" si="7"/>
        <v>PC-MH-1200B</v>
      </c>
      <c r="J107" s="15" t="str">
        <f>IFERROR(INDEX(Items!$C$2:$C$500,MATCH(I107,Items!$H$2:$H$500,0)),"UNKNOWN")</f>
        <v>Manhole</v>
      </c>
      <c r="K107" s="24">
        <f>IF(J107="UNKNOWN","",INDEX(Items!$F$2:$F$500,MATCH(I107,Items!$H$2:$H$500,0)))</f>
        <v>1240</v>
      </c>
      <c r="L107" s="24">
        <f t="shared" si="8"/>
        <v>6310.15</v>
      </c>
      <c r="M107" s="28">
        <f t="shared" si="9"/>
        <v>5</v>
      </c>
      <c r="N107" s="31">
        <f t="shared" si="10"/>
        <v>-1.7766129032257938E-2</v>
      </c>
      <c r="O107" s="24">
        <f>IF(J107="UNKNOWN","",INDEX(Cost_Rollup!$F$5:$F$16,MATCH(I107,Cost_Rollup!$A$5:$A$16,0)))</f>
        <v>753.42079999999999</v>
      </c>
      <c r="P107" s="24">
        <f t="shared" si="11"/>
        <v>3767.1039999999998</v>
      </c>
      <c r="Q107" s="15" t="str">
        <f t="shared" si="12"/>
        <v/>
      </c>
      <c r="R107" s="15" t="str">
        <f t="shared" si="13"/>
        <v>OK</v>
      </c>
    </row>
    <row r="108" spans="1:18" x14ac:dyDescent="0.3">
      <c r="A108" s="12" t="s">
        <v>378</v>
      </c>
      <c r="B108" s="30">
        <v>45834</v>
      </c>
      <c r="C108" s="12" t="s">
        <v>292</v>
      </c>
      <c r="D108" s="12" t="s">
        <v>277</v>
      </c>
      <c r="E108" s="12" t="s">
        <v>70</v>
      </c>
      <c r="F108" s="12" t="s">
        <v>115</v>
      </c>
      <c r="G108" s="23">
        <v>8</v>
      </c>
      <c r="H108" s="22">
        <v>915.2</v>
      </c>
      <c r="I108" s="15" t="str">
        <f t="shared" si="7"/>
        <v>PC-MH-1050B</v>
      </c>
      <c r="J108" s="15" t="str">
        <f>IFERROR(INDEX(Items!$C$2:$C$500,MATCH(I108,Items!$H$2:$H$500,0)),"UNKNOWN")</f>
        <v>Manhole</v>
      </c>
      <c r="K108" s="24">
        <f>IF(J108="UNKNOWN","",INDEX(Items!$F$2:$F$500,MATCH(I108,Items!$H$2:$H$500,0)))</f>
        <v>980</v>
      </c>
      <c r="L108" s="24">
        <f t="shared" si="8"/>
        <v>7321.6</v>
      </c>
      <c r="M108" s="28">
        <f t="shared" si="9"/>
        <v>8</v>
      </c>
      <c r="N108" s="31">
        <f t="shared" si="10"/>
        <v>6.6122448979591741E-2</v>
      </c>
      <c r="O108" s="24">
        <f>IF(J108="UNKNOWN","",INDEX(Cost_Rollup!$F$5:$F$16,MATCH(I108,Cost_Rollup!$A$5:$A$16,0)))</f>
        <v>635.43299999999999</v>
      </c>
      <c r="P108" s="24">
        <f t="shared" si="11"/>
        <v>5083.4639999999999</v>
      </c>
      <c r="Q108" s="15" t="str">
        <f t="shared" si="12"/>
        <v/>
      </c>
      <c r="R108" s="15" t="str">
        <f t="shared" si="13"/>
        <v>OK</v>
      </c>
    </row>
    <row r="109" spans="1:18" x14ac:dyDescent="0.3">
      <c r="A109" s="12" t="s">
        <v>379</v>
      </c>
      <c r="B109" s="30">
        <v>45835</v>
      </c>
      <c r="C109" s="12" t="s">
        <v>260</v>
      </c>
      <c r="D109" s="12" t="s">
        <v>258</v>
      </c>
      <c r="E109" s="12" t="s">
        <v>70</v>
      </c>
      <c r="F109" s="12" t="s">
        <v>131</v>
      </c>
      <c r="G109" s="23">
        <v>293</v>
      </c>
      <c r="H109" s="22">
        <v>121.21</v>
      </c>
      <c r="I109" s="15" t="str">
        <f t="shared" si="7"/>
        <v>PC-HC-200</v>
      </c>
      <c r="J109" s="15" t="str">
        <f>IFERROR(INDEX(Items!$C$2:$C$500,MATCH(I109,Items!$H$2:$H$500,0)),"UNKNOWN")</f>
        <v>Slab</v>
      </c>
      <c r="K109" s="24">
        <f>IF(J109="UNKNOWN","",INDEX(Items!$F$2:$F$500,MATCH(I109,Items!$H$2:$H$500,0)))</f>
        <v>118</v>
      </c>
      <c r="L109" s="24">
        <f t="shared" si="8"/>
        <v>35514.53</v>
      </c>
      <c r="M109" s="28">
        <f t="shared" si="9"/>
        <v>293</v>
      </c>
      <c r="N109" s="31">
        <f t="shared" si="10"/>
        <v>-2.7203389830508407E-2</v>
      </c>
      <c r="O109" s="24">
        <f>IF(J109="UNKNOWN","",INDEX(Cost_Rollup!$F$5:$F$16,MATCH(I109,Cost_Rollup!$A$5:$A$16,0)))</f>
        <v>78.893820000000005</v>
      </c>
      <c r="P109" s="24">
        <f t="shared" si="11"/>
        <v>23115.88926</v>
      </c>
      <c r="Q109" s="15" t="str">
        <f t="shared" si="12"/>
        <v/>
      </c>
      <c r="R109" s="15" t="str">
        <f t="shared" si="13"/>
        <v>OK</v>
      </c>
    </row>
    <row r="110" spans="1:18" x14ac:dyDescent="0.3">
      <c r="A110" s="12" t="s">
        <v>380</v>
      </c>
      <c r="B110" s="30">
        <v>45836</v>
      </c>
      <c r="C110" s="12" t="s">
        <v>257</v>
      </c>
      <c r="D110" s="12" t="s">
        <v>258</v>
      </c>
      <c r="E110" s="12" t="s">
        <v>70</v>
      </c>
      <c r="F110" s="12" t="s">
        <v>110</v>
      </c>
      <c r="G110" s="23">
        <v>6</v>
      </c>
      <c r="H110" s="22">
        <v>1962.65</v>
      </c>
      <c r="I110" s="15" t="str">
        <f t="shared" si="7"/>
        <v>PC-RCP-1200</v>
      </c>
      <c r="J110" s="15" t="str">
        <f>IFERROR(INDEX(Items!$C$2:$C$500,MATCH(I110,Items!$H$2:$H$500,0)),"UNKNOWN")</f>
        <v>Pipe</v>
      </c>
      <c r="K110" s="24">
        <f>IF(J110="UNKNOWN","",INDEX(Items!$F$2:$F$500,MATCH(I110,Items!$H$2:$H$500,0)))</f>
        <v>1890</v>
      </c>
      <c r="L110" s="24">
        <f t="shared" si="8"/>
        <v>11775.900000000001</v>
      </c>
      <c r="M110" s="28">
        <f t="shared" si="9"/>
        <v>6</v>
      </c>
      <c r="N110" s="31">
        <f t="shared" si="10"/>
        <v>-3.8439153439153495E-2</v>
      </c>
      <c r="O110" s="24">
        <f>IF(J110="UNKNOWN","",INDEX(Cost_Rollup!$F$5:$F$16,MATCH(I110,Cost_Rollup!$A$5:$A$16,0)))</f>
        <v>1206.4054000000001</v>
      </c>
      <c r="P110" s="24">
        <f t="shared" si="11"/>
        <v>7238.4324000000006</v>
      </c>
      <c r="Q110" s="15" t="str">
        <f t="shared" si="12"/>
        <v/>
      </c>
      <c r="R110" s="15" t="str">
        <f t="shared" si="13"/>
        <v>OK</v>
      </c>
    </row>
    <row r="111" spans="1:18" x14ac:dyDescent="0.3">
      <c r="A111" s="12" t="s">
        <v>381</v>
      </c>
      <c r="B111" s="30">
        <v>45836</v>
      </c>
      <c r="C111" s="12" t="s">
        <v>276</v>
      </c>
      <c r="D111" s="12" t="s">
        <v>277</v>
      </c>
      <c r="E111" s="12" t="s">
        <v>70</v>
      </c>
      <c r="F111" s="12" t="s">
        <v>118</v>
      </c>
      <c r="G111" s="23">
        <v>2</v>
      </c>
      <c r="H111" s="22">
        <v>1244.9100000000001</v>
      </c>
      <c r="I111" s="15" t="str">
        <f t="shared" si="7"/>
        <v>PC-MH-1200B</v>
      </c>
      <c r="J111" s="15" t="str">
        <f>IFERROR(INDEX(Items!$C$2:$C$500,MATCH(I111,Items!$H$2:$H$500,0)),"UNKNOWN")</f>
        <v>Manhole</v>
      </c>
      <c r="K111" s="24">
        <f>IF(J111="UNKNOWN","",INDEX(Items!$F$2:$F$500,MATCH(I111,Items!$H$2:$H$500,0)))</f>
        <v>1240</v>
      </c>
      <c r="L111" s="24">
        <f t="shared" si="8"/>
        <v>2489.8200000000002</v>
      </c>
      <c r="M111" s="28">
        <f t="shared" si="9"/>
        <v>2</v>
      </c>
      <c r="N111" s="31">
        <f t="shared" si="10"/>
        <v>-3.9596774193548789E-3</v>
      </c>
      <c r="O111" s="24">
        <f>IF(J111="UNKNOWN","",INDEX(Cost_Rollup!$F$5:$F$16,MATCH(I111,Cost_Rollup!$A$5:$A$16,0)))</f>
        <v>753.42079999999999</v>
      </c>
      <c r="P111" s="24">
        <f t="shared" si="11"/>
        <v>1506.8416</v>
      </c>
      <c r="Q111" s="15" t="str">
        <f t="shared" si="12"/>
        <v/>
      </c>
      <c r="R111" s="15" t="str">
        <f t="shared" si="13"/>
        <v>OK</v>
      </c>
    </row>
    <row r="112" spans="1:18" x14ac:dyDescent="0.3">
      <c r="A112" s="12" t="s">
        <v>382</v>
      </c>
      <c r="B112" s="30">
        <v>45838</v>
      </c>
      <c r="C112" s="12" t="s">
        <v>265</v>
      </c>
      <c r="D112" s="12" t="s">
        <v>266</v>
      </c>
      <c r="E112" s="12" t="s">
        <v>70</v>
      </c>
      <c r="F112" s="12" t="s">
        <v>125</v>
      </c>
      <c r="G112" s="23">
        <v>8</v>
      </c>
      <c r="H112" s="22">
        <v>1451.5</v>
      </c>
      <c r="I112" s="15" t="str">
        <f t="shared" si="7"/>
        <v>PC-BAR-F38</v>
      </c>
      <c r="J112" s="15" t="str">
        <f>IFERROR(INDEX(Items!$C$2:$C$500,MATCH(I112,Items!$H$2:$H$500,0)),"UNKNOWN")</f>
        <v>Barrier</v>
      </c>
      <c r="K112" s="24">
        <f>IF(J112="UNKNOWN","",INDEX(Items!$F$2:$F$500,MATCH(I112,Items!$H$2:$H$500,0)))</f>
        <v>1450</v>
      </c>
      <c r="L112" s="24">
        <f t="shared" si="8"/>
        <v>11612</v>
      </c>
      <c r="M112" s="28">
        <f t="shared" si="9"/>
        <v>8</v>
      </c>
      <c r="N112" s="31">
        <f t="shared" si="10"/>
        <v>-1.034482758620614E-3</v>
      </c>
      <c r="O112" s="24">
        <f>IF(J112="UNKNOWN","",INDEX(Cost_Rollup!$F$5:$F$16,MATCH(I112,Cost_Rollup!$A$5:$A$16,0)))</f>
        <v>978.66327999999999</v>
      </c>
      <c r="P112" s="24">
        <f t="shared" si="11"/>
        <v>7829.3062399999999</v>
      </c>
      <c r="Q112" s="15" t="str">
        <f t="shared" si="12"/>
        <v/>
      </c>
      <c r="R112" s="15" t="str">
        <f t="shared" si="13"/>
        <v>OK</v>
      </c>
    </row>
    <row r="113" spans="1:18" x14ac:dyDescent="0.3">
      <c r="A113" s="12" t="s">
        <v>383</v>
      </c>
      <c r="B113" s="30">
        <v>45838</v>
      </c>
      <c r="C113" s="12" t="s">
        <v>265</v>
      </c>
      <c r="D113" s="12" t="s">
        <v>266</v>
      </c>
      <c r="E113" s="12" t="s">
        <v>70</v>
      </c>
      <c r="F113" s="12" t="s">
        <v>118</v>
      </c>
      <c r="G113" s="23">
        <v>6</v>
      </c>
      <c r="H113" s="22">
        <v>1195.73</v>
      </c>
      <c r="I113" s="15" t="str">
        <f t="shared" si="7"/>
        <v>PC-MH-1200B</v>
      </c>
      <c r="J113" s="15" t="str">
        <f>IFERROR(INDEX(Items!$C$2:$C$500,MATCH(I113,Items!$H$2:$H$500,0)),"UNKNOWN")</f>
        <v>Manhole</v>
      </c>
      <c r="K113" s="24">
        <f>IF(J113="UNKNOWN","",INDEX(Items!$F$2:$F$500,MATCH(I113,Items!$H$2:$H$500,0)))</f>
        <v>1240</v>
      </c>
      <c r="L113" s="24">
        <f t="shared" si="8"/>
        <v>7174.38</v>
      </c>
      <c r="M113" s="28">
        <f t="shared" si="9"/>
        <v>6</v>
      </c>
      <c r="N113" s="31">
        <f t="shared" si="10"/>
        <v>3.5701612903225821E-2</v>
      </c>
      <c r="O113" s="24">
        <f>IF(J113="UNKNOWN","",INDEX(Cost_Rollup!$F$5:$F$16,MATCH(I113,Cost_Rollup!$A$5:$A$16,0)))</f>
        <v>753.42079999999999</v>
      </c>
      <c r="P113" s="24">
        <f t="shared" si="11"/>
        <v>4520.5248000000001</v>
      </c>
      <c r="Q113" s="15" t="str">
        <f t="shared" si="12"/>
        <v/>
      </c>
      <c r="R113" s="15" t="str">
        <f t="shared" si="13"/>
        <v>OK</v>
      </c>
    </row>
    <row r="114" spans="1:18" x14ac:dyDescent="0.3">
      <c r="A114" s="12" t="s">
        <v>384</v>
      </c>
      <c r="B114" s="30">
        <v>45838</v>
      </c>
      <c r="C114" s="12" t="s">
        <v>257</v>
      </c>
      <c r="D114" s="12" t="s">
        <v>258</v>
      </c>
      <c r="E114" s="12" t="s">
        <v>70</v>
      </c>
      <c r="F114" s="12" t="s">
        <v>118</v>
      </c>
      <c r="G114" s="23">
        <v>8</v>
      </c>
      <c r="H114" s="22">
        <v>1160.33</v>
      </c>
      <c r="I114" s="15" t="str">
        <f t="shared" si="7"/>
        <v>PC-MH-1200B</v>
      </c>
      <c r="J114" s="15" t="str">
        <f>IFERROR(INDEX(Items!$C$2:$C$500,MATCH(I114,Items!$H$2:$H$500,0)),"UNKNOWN")</f>
        <v>Manhole</v>
      </c>
      <c r="K114" s="24">
        <f>IF(J114="UNKNOWN","",INDEX(Items!$F$2:$F$500,MATCH(I114,Items!$H$2:$H$500,0)))</f>
        <v>1240</v>
      </c>
      <c r="L114" s="24">
        <f t="shared" si="8"/>
        <v>9282.64</v>
      </c>
      <c r="M114" s="28">
        <f t="shared" si="9"/>
        <v>8</v>
      </c>
      <c r="N114" s="31">
        <f t="shared" si="10"/>
        <v>6.4250000000000029E-2</v>
      </c>
      <c r="O114" s="24">
        <f>IF(J114="UNKNOWN","",INDEX(Cost_Rollup!$F$5:$F$16,MATCH(I114,Cost_Rollup!$A$5:$A$16,0)))</f>
        <v>753.42079999999999</v>
      </c>
      <c r="P114" s="24">
        <f t="shared" si="11"/>
        <v>6027.3663999999999</v>
      </c>
      <c r="Q114" s="15" t="str">
        <f t="shared" si="12"/>
        <v/>
      </c>
      <c r="R114" s="15" t="str">
        <f t="shared" si="13"/>
        <v>OK</v>
      </c>
    </row>
    <row r="115" spans="1:18" x14ac:dyDescent="0.3">
      <c r="A115" s="12" t="s">
        <v>385</v>
      </c>
      <c r="B115" s="30">
        <v>45839</v>
      </c>
      <c r="C115" s="12" t="s">
        <v>260</v>
      </c>
      <c r="D115" s="12" t="s">
        <v>258</v>
      </c>
      <c r="E115" s="12" t="s">
        <v>70</v>
      </c>
      <c r="F115" s="12" t="s">
        <v>108</v>
      </c>
      <c r="G115" s="23">
        <v>28</v>
      </c>
      <c r="H115" s="22">
        <v>1192.05</v>
      </c>
      <c r="I115" s="15" t="str">
        <f t="shared" si="7"/>
        <v>PC-RCP-0900</v>
      </c>
      <c r="J115" s="15" t="str">
        <f>IFERROR(INDEX(Items!$C$2:$C$500,MATCH(I115,Items!$H$2:$H$500,0)),"UNKNOWN")</f>
        <v>Pipe</v>
      </c>
      <c r="K115" s="24">
        <f>IF(J115="UNKNOWN","",INDEX(Items!$F$2:$F$500,MATCH(I115,Items!$H$2:$H$500,0)))</f>
        <v>1150</v>
      </c>
      <c r="L115" s="24">
        <f t="shared" si="8"/>
        <v>33377.4</v>
      </c>
      <c r="M115" s="28">
        <f t="shared" si="9"/>
        <v>28</v>
      </c>
      <c r="N115" s="31">
        <f t="shared" si="10"/>
        <v>-3.656521739130425E-2</v>
      </c>
      <c r="O115" s="24">
        <f>IF(J115="UNKNOWN","",INDEX(Cost_Rollup!$F$5:$F$16,MATCH(I115,Cost_Rollup!$A$5:$A$16,0)))</f>
        <v>750.43372656869997</v>
      </c>
      <c r="P115" s="24">
        <f t="shared" si="11"/>
        <v>21012.144343923599</v>
      </c>
      <c r="Q115" s="15" t="str">
        <f t="shared" si="12"/>
        <v/>
      </c>
      <c r="R115" s="15" t="str">
        <f t="shared" si="13"/>
        <v>OK</v>
      </c>
    </row>
    <row r="116" spans="1:18" x14ac:dyDescent="0.3">
      <c r="A116" s="12" t="s">
        <v>386</v>
      </c>
      <c r="B116" s="30">
        <v>45841</v>
      </c>
      <c r="C116" s="12" t="s">
        <v>279</v>
      </c>
      <c r="D116" s="12" t="s">
        <v>280</v>
      </c>
      <c r="E116" s="12" t="s">
        <v>147</v>
      </c>
      <c r="F116" s="12" t="s">
        <v>122</v>
      </c>
      <c r="G116" s="23">
        <v>3</v>
      </c>
      <c r="H116" s="22">
        <v>674.67</v>
      </c>
      <c r="I116" s="15" t="str">
        <f t="shared" si="7"/>
        <v>PC-CB-0600</v>
      </c>
      <c r="J116" s="15" t="str">
        <f>IFERROR(INDEX(Items!$C$2:$C$500,MATCH(I116,Items!$H$2:$H$500,0)),"UNKNOWN")</f>
        <v>Catch Basin</v>
      </c>
      <c r="K116" s="24">
        <f>IF(J116="UNKNOWN","",INDEX(Items!$F$2:$F$500,MATCH(I116,Items!$H$2:$H$500,0)))</f>
        <v>690</v>
      </c>
      <c r="L116" s="24">
        <f t="shared" si="8"/>
        <v>2024.0099999999998</v>
      </c>
      <c r="M116" s="28">
        <f t="shared" si="9"/>
        <v>3</v>
      </c>
      <c r="N116" s="31">
        <f t="shared" si="10"/>
        <v>2.2217391304347855E-2</v>
      </c>
      <c r="O116" s="24">
        <f>IF(J116="UNKNOWN","",INDEX(Cost_Rollup!$F$5:$F$16,MATCH(I116,Cost_Rollup!$A$5:$A$16,0)))</f>
        <v>471.04880000000003</v>
      </c>
      <c r="P116" s="24">
        <f t="shared" si="11"/>
        <v>1413.1464000000001</v>
      </c>
      <c r="Q116" s="15" t="str">
        <f t="shared" si="12"/>
        <v/>
      </c>
      <c r="R116" s="15" t="str">
        <f t="shared" si="13"/>
        <v>OK</v>
      </c>
    </row>
    <row r="117" spans="1:18" x14ac:dyDescent="0.3">
      <c r="A117" s="12" t="s">
        <v>387</v>
      </c>
      <c r="B117" s="30">
        <v>45842</v>
      </c>
      <c r="C117" s="12" t="s">
        <v>273</v>
      </c>
      <c r="D117" s="12" t="s">
        <v>274</v>
      </c>
      <c r="E117" s="12" t="s">
        <v>147</v>
      </c>
      <c r="F117" s="12" t="s">
        <v>129</v>
      </c>
      <c r="G117" s="23">
        <v>29</v>
      </c>
      <c r="H117" s="22">
        <v>2185.04</v>
      </c>
      <c r="I117" s="15" t="str">
        <f t="shared" si="7"/>
        <v>PC-BAR-SS60</v>
      </c>
      <c r="J117" s="15" t="str">
        <f>IFERROR(INDEX(Items!$C$2:$C$500,MATCH(I117,Items!$H$2:$H$500,0)),"UNKNOWN")</f>
        <v>Barrier</v>
      </c>
      <c r="K117" s="24">
        <f>IF(J117="UNKNOWN","",INDEX(Items!$F$2:$F$500,MATCH(I117,Items!$H$2:$H$500,0)))</f>
        <v>2350</v>
      </c>
      <c r="L117" s="24">
        <f t="shared" si="8"/>
        <v>63366.159999999996</v>
      </c>
      <c r="M117" s="28">
        <f t="shared" si="9"/>
        <v>29</v>
      </c>
      <c r="N117" s="31">
        <f t="shared" si="10"/>
        <v>7.0195744680851102E-2</v>
      </c>
      <c r="O117" s="24">
        <f>IF(J117="UNKNOWN","",INDEX(Cost_Rollup!$F$5:$F$16,MATCH(I117,Cost_Rollup!$A$5:$A$16,0)))</f>
        <v>1583.5454</v>
      </c>
      <c r="P117" s="24">
        <f t="shared" si="11"/>
        <v>45922.816599999998</v>
      </c>
      <c r="Q117" s="15" t="str">
        <f t="shared" si="12"/>
        <v/>
      </c>
      <c r="R117" s="15" t="str">
        <f t="shared" si="13"/>
        <v>OK</v>
      </c>
    </row>
    <row r="118" spans="1:18" x14ac:dyDescent="0.3">
      <c r="A118" s="12" t="s">
        <v>388</v>
      </c>
      <c r="B118" s="30">
        <v>45842</v>
      </c>
      <c r="C118" s="12" t="s">
        <v>273</v>
      </c>
      <c r="D118" s="12" t="s">
        <v>274</v>
      </c>
      <c r="E118" s="12" t="s">
        <v>147</v>
      </c>
      <c r="F118" s="12" t="s">
        <v>125</v>
      </c>
      <c r="G118" s="23">
        <v>19</v>
      </c>
      <c r="H118" s="22">
        <v>1307.74</v>
      </c>
      <c r="I118" s="15" t="str">
        <f t="shared" si="7"/>
        <v>PC-BAR-F38</v>
      </c>
      <c r="J118" s="15" t="str">
        <f>IFERROR(INDEX(Items!$C$2:$C$500,MATCH(I118,Items!$H$2:$H$500,0)),"UNKNOWN")</f>
        <v>Barrier</v>
      </c>
      <c r="K118" s="24">
        <f>IF(J118="UNKNOWN","",INDEX(Items!$F$2:$F$500,MATCH(I118,Items!$H$2:$H$500,0)))</f>
        <v>1450</v>
      </c>
      <c r="L118" s="24">
        <f t="shared" si="8"/>
        <v>24847.06</v>
      </c>
      <c r="M118" s="28">
        <f t="shared" si="9"/>
        <v>19</v>
      </c>
      <c r="N118" s="31">
        <f t="shared" si="10"/>
        <v>9.8110344827586182E-2</v>
      </c>
      <c r="O118" s="24">
        <f>IF(J118="UNKNOWN","",INDEX(Cost_Rollup!$F$5:$F$16,MATCH(I118,Cost_Rollup!$A$5:$A$16,0)))</f>
        <v>978.66327999999999</v>
      </c>
      <c r="P118" s="24">
        <f t="shared" si="11"/>
        <v>18594.602319999998</v>
      </c>
      <c r="Q118" s="15" t="str">
        <f t="shared" si="12"/>
        <v/>
      </c>
      <c r="R118" s="15" t="str">
        <f t="shared" si="13"/>
        <v>OK</v>
      </c>
    </row>
    <row r="119" spans="1:18" x14ac:dyDescent="0.3">
      <c r="A119" s="12" t="s">
        <v>389</v>
      </c>
      <c r="B119" s="30">
        <v>45843</v>
      </c>
      <c r="C119" s="12" t="s">
        <v>276</v>
      </c>
      <c r="D119" s="12" t="s">
        <v>277</v>
      </c>
      <c r="E119" s="12" t="s">
        <v>70</v>
      </c>
      <c r="F119" s="12" t="s">
        <v>131</v>
      </c>
      <c r="G119" s="23">
        <v>333</v>
      </c>
      <c r="H119" s="22">
        <v>119.28</v>
      </c>
      <c r="I119" s="15" t="str">
        <f t="shared" si="7"/>
        <v>PC-HC-200</v>
      </c>
      <c r="J119" s="15" t="str">
        <f>IFERROR(INDEX(Items!$C$2:$C$500,MATCH(I119,Items!$H$2:$H$500,0)),"UNKNOWN")</f>
        <v>Slab</v>
      </c>
      <c r="K119" s="24">
        <f>IF(J119="UNKNOWN","",INDEX(Items!$F$2:$F$500,MATCH(I119,Items!$H$2:$H$500,0)))</f>
        <v>118</v>
      </c>
      <c r="L119" s="24">
        <f t="shared" si="8"/>
        <v>39720.239999999998</v>
      </c>
      <c r="M119" s="28">
        <f t="shared" si="9"/>
        <v>333</v>
      </c>
      <c r="N119" s="31">
        <f t="shared" si="10"/>
        <v>-1.0847457627118695E-2</v>
      </c>
      <c r="O119" s="24">
        <f>IF(J119="UNKNOWN","",INDEX(Cost_Rollup!$F$5:$F$16,MATCH(I119,Cost_Rollup!$A$5:$A$16,0)))</f>
        <v>78.893820000000005</v>
      </c>
      <c r="P119" s="24">
        <f t="shared" si="11"/>
        <v>26271.642060000002</v>
      </c>
      <c r="Q119" s="15" t="str">
        <f t="shared" si="12"/>
        <v/>
      </c>
      <c r="R119" s="15" t="str">
        <f t="shared" si="13"/>
        <v>OK</v>
      </c>
    </row>
    <row r="120" spans="1:18" x14ac:dyDescent="0.3">
      <c r="A120" s="12" t="s">
        <v>390</v>
      </c>
      <c r="B120" s="30">
        <v>45845</v>
      </c>
      <c r="C120" s="12" t="s">
        <v>292</v>
      </c>
      <c r="D120" s="12" t="s">
        <v>277</v>
      </c>
      <c r="E120" s="12" t="s">
        <v>70</v>
      </c>
      <c r="F120" s="12" t="s">
        <v>131</v>
      </c>
      <c r="G120" s="23">
        <v>362</v>
      </c>
      <c r="H120" s="22">
        <v>107.96</v>
      </c>
      <c r="I120" s="15" t="str">
        <f t="shared" si="7"/>
        <v>PC-HC-200</v>
      </c>
      <c r="J120" s="15" t="str">
        <f>IFERROR(INDEX(Items!$C$2:$C$500,MATCH(I120,Items!$H$2:$H$500,0)),"UNKNOWN")</f>
        <v>Slab</v>
      </c>
      <c r="K120" s="24">
        <f>IF(J120="UNKNOWN","",INDEX(Items!$F$2:$F$500,MATCH(I120,Items!$H$2:$H$500,0)))</f>
        <v>118</v>
      </c>
      <c r="L120" s="24">
        <f t="shared" si="8"/>
        <v>39081.519999999997</v>
      </c>
      <c r="M120" s="28">
        <f t="shared" si="9"/>
        <v>362</v>
      </c>
      <c r="N120" s="31">
        <f t="shared" si="10"/>
        <v>8.5084745762711966E-2</v>
      </c>
      <c r="O120" s="24">
        <f>IF(J120="UNKNOWN","",INDEX(Cost_Rollup!$F$5:$F$16,MATCH(I120,Cost_Rollup!$A$5:$A$16,0)))</f>
        <v>78.893820000000005</v>
      </c>
      <c r="P120" s="24">
        <f t="shared" si="11"/>
        <v>28559.562840000002</v>
      </c>
      <c r="Q120" s="15" t="str">
        <f t="shared" si="12"/>
        <v/>
      </c>
      <c r="R120" s="15" t="str">
        <f t="shared" si="13"/>
        <v>OK</v>
      </c>
    </row>
    <row r="121" spans="1:18" x14ac:dyDescent="0.3">
      <c r="A121" s="12" t="s">
        <v>391</v>
      </c>
      <c r="B121" s="30">
        <v>45845</v>
      </c>
      <c r="C121" s="12" t="s">
        <v>263</v>
      </c>
      <c r="D121" s="12" t="s">
        <v>258</v>
      </c>
      <c r="E121" s="12" t="s">
        <v>70</v>
      </c>
      <c r="F121" s="12" t="s">
        <v>135</v>
      </c>
      <c r="G121" s="23">
        <v>263</v>
      </c>
      <c r="H121" s="22">
        <v>139.13</v>
      </c>
      <c r="I121" s="15" t="str">
        <f t="shared" si="7"/>
        <v>PC-HC-250</v>
      </c>
      <c r="J121" s="15" t="str">
        <f>IFERROR(INDEX(Items!$C$2:$C$500,MATCH(I121,Items!$H$2:$H$500,0)),"UNKNOWN")</f>
        <v>Slab</v>
      </c>
      <c r="K121" s="24">
        <f>IF(J121="UNKNOWN","",INDEX(Items!$F$2:$F$500,MATCH(I121,Items!$H$2:$H$500,0)))</f>
        <v>136</v>
      </c>
      <c r="L121" s="24">
        <f t="shared" si="8"/>
        <v>36591.19</v>
      </c>
      <c r="M121" s="28">
        <f t="shared" si="9"/>
        <v>263</v>
      </c>
      <c r="N121" s="31">
        <f t="shared" si="10"/>
        <v>-2.3014705882352882E-2</v>
      </c>
      <c r="O121" s="24">
        <f>IF(J121="UNKNOWN","",INDEX(Cost_Rollup!$F$5:$F$16,MATCH(I121,Cost_Rollup!$A$5:$A$16,0)))</f>
        <v>92.940240000000003</v>
      </c>
      <c r="P121" s="24">
        <f t="shared" si="11"/>
        <v>24443.28312</v>
      </c>
      <c r="Q121" s="15" t="str">
        <f t="shared" si="12"/>
        <v/>
      </c>
      <c r="R121" s="15" t="str">
        <f t="shared" si="13"/>
        <v>OK</v>
      </c>
    </row>
    <row r="122" spans="1:18" x14ac:dyDescent="0.3">
      <c r="A122" s="12" t="s">
        <v>392</v>
      </c>
      <c r="B122" s="30">
        <v>45845</v>
      </c>
      <c r="C122" s="12" t="s">
        <v>276</v>
      </c>
      <c r="D122" s="12" t="s">
        <v>277</v>
      </c>
      <c r="E122" s="12" t="s">
        <v>70</v>
      </c>
      <c r="F122" s="12" t="s">
        <v>110</v>
      </c>
      <c r="G122" s="23">
        <v>27</v>
      </c>
      <c r="H122" s="22">
        <v>1837.58</v>
      </c>
      <c r="I122" s="15" t="str">
        <f t="shared" si="7"/>
        <v>PC-RCP-1200</v>
      </c>
      <c r="J122" s="15" t="str">
        <f>IFERROR(INDEX(Items!$C$2:$C$500,MATCH(I122,Items!$H$2:$H$500,0)),"UNKNOWN")</f>
        <v>Pipe</v>
      </c>
      <c r="K122" s="24">
        <f>IF(J122="UNKNOWN","",INDEX(Items!$F$2:$F$500,MATCH(I122,Items!$H$2:$H$500,0)))</f>
        <v>1890</v>
      </c>
      <c r="L122" s="24">
        <f t="shared" si="8"/>
        <v>49614.659999999996</v>
      </c>
      <c r="M122" s="28">
        <f t="shared" si="9"/>
        <v>27</v>
      </c>
      <c r="N122" s="31">
        <f t="shared" si="10"/>
        <v>2.7735449735449724E-2</v>
      </c>
      <c r="O122" s="24">
        <f>IF(J122="UNKNOWN","",INDEX(Cost_Rollup!$F$5:$F$16,MATCH(I122,Cost_Rollup!$A$5:$A$16,0)))</f>
        <v>1206.4054000000001</v>
      </c>
      <c r="P122" s="24">
        <f t="shared" si="11"/>
        <v>32572.945800000001</v>
      </c>
      <c r="Q122" s="15" t="str">
        <f t="shared" si="12"/>
        <v/>
      </c>
      <c r="R122" s="15" t="str">
        <f t="shared" si="13"/>
        <v>OK</v>
      </c>
    </row>
    <row r="123" spans="1:18" x14ac:dyDescent="0.3">
      <c r="A123" s="12" t="s">
        <v>393</v>
      </c>
      <c r="B123" s="30">
        <v>45848</v>
      </c>
      <c r="C123" s="12" t="s">
        <v>265</v>
      </c>
      <c r="D123" s="12" t="s">
        <v>266</v>
      </c>
      <c r="E123" s="12" t="s">
        <v>70</v>
      </c>
      <c r="F123" s="12" t="s">
        <v>115</v>
      </c>
      <c r="G123" s="23">
        <v>8</v>
      </c>
      <c r="H123" s="22">
        <v>1010.3</v>
      </c>
      <c r="I123" s="15" t="str">
        <f t="shared" si="7"/>
        <v>PC-MH-1050B</v>
      </c>
      <c r="J123" s="15" t="str">
        <f>IFERROR(INDEX(Items!$C$2:$C$500,MATCH(I123,Items!$H$2:$H$500,0)),"UNKNOWN")</f>
        <v>Manhole</v>
      </c>
      <c r="K123" s="24">
        <f>IF(J123="UNKNOWN","",INDEX(Items!$F$2:$F$500,MATCH(I123,Items!$H$2:$H$500,0)))</f>
        <v>980</v>
      </c>
      <c r="L123" s="24">
        <f t="shared" si="8"/>
        <v>8082.4</v>
      </c>
      <c r="M123" s="28">
        <f t="shared" si="9"/>
        <v>8</v>
      </c>
      <c r="N123" s="31">
        <f t="shared" si="10"/>
        <v>-3.0918367346938647E-2</v>
      </c>
      <c r="O123" s="24">
        <f>IF(J123="UNKNOWN","",INDEX(Cost_Rollup!$F$5:$F$16,MATCH(I123,Cost_Rollup!$A$5:$A$16,0)))</f>
        <v>635.43299999999999</v>
      </c>
      <c r="P123" s="24">
        <f t="shared" si="11"/>
        <v>5083.4639999999999</v>
      </c>
      <c r="Q123" s="15" t="str">
        <f t="shared" si="12"/>
        <v/>
      </c>
      <c r="R123" s="15" t="str">
        <f t="shared" si="13"/>
        <v>OK</v>
      </c>
    </row>
    <row r="124" spans="1:18" x14ac:dyDescent="0.3">
      <c r="A124" s="12" t="s">
        <v>394</v>
      </c>
      <c r="B124" s="30">
        <v>45849</v>
      </c>
      <c r="C124" s="12" t="s">
        <v>260</v>
      </c>
      <c r="D124" s="12" t="s">
        <v>258</v>
      </c>
      <c r="E124" s="12" t="s">
        <v>70</v>
      </c>
      <c r="F124" s="12" t="s">
        <v>120</v>
      </c>
      <c r="G124" s="23">
        <v>2</v>
      </c>
      <c r="H124" s="22">
        <v>510.07</v>
      </c>
      <c r="I124" s="15" t="str">
        <f t="shared" si="7"/>
        <v>PC-MH-1200R</v>
      </c>
      <c r="J124" s="15" t="str">
        <f>IFERROR(INDEX(Items!$C$2:$C$500,MATCH(I124,Items!$H$2:$H$500,0)),"UNKNOWN")</f>
        <v>Manhole</v>
      </c>
      <c r="K124" s="24">
        <f>IF(J124="UNKNOWN","",INDEX(Items!$F$2:$F$500,MATCH(I124,Items!$H$2:$H$500,0)))</f>
        <v>520</v>
      </c>
      <c r="L124" s="24">
        <f t="shared" si="8"/>
        <v>1020.14</v>
      </c>
      <c r="M124" s="28">
        <f t="shared" si="9"/>
        <v>2</v>
      </c>
      <c r="N124" s="31">
        <f t="shared" si="10"/>
        <v>1.9096153846153818E-2</v>
      </c>
      <c r="O124" s="24">
        <f>IF(J124="UNKNOWN","",INDEX(Cost_Rollup!$F$5:$F$16,MATCH(I124,Cost_Rollup!$A$5:$A$16,0)))</f>
        <v>381.98428000000001</v>
      </c>
      <c r="P124" s="24">
        <f t="shared" si="11"/>
        <v>763.96856000000002</v>
      </c>
      <c r="Q124" s="15" t="str">
        <f t="shared" si="12"/>
        <v/>
      </c>
      <c r="R124" s="15" t="str">
        <f t="shared" si="13"/>
        <v>OK</v>
      </c>
    </row>
    <row r="125" spans="1:18" x14ac:dyDescent="0.3">
      <c r="A125" s="12" t="s">
        <v>395</v>
      </c>
      <c r="B125" s="30">
        <v>45851</v>
      </c>
      <c r="C125" s="12" t="s">
        <v>257</v>
      </c>
      <c r="D125" s="12" t="s">
        <v>258</v>
      </c>
      <c r="E125" s="12" t="s">
        <v>70</v>
      </c>
      <c r="F125" s="12" t="s">
        <v>122</v>
      </c>
      <c r="G125" s="23">
        <v>8</v>
      </c>
      <c r="H125" s="22">
        <v>629.76</v>
      </c>
      <c r="I125" s="15" t="str">
        <f t="shared" si="7"/>
        <v>PC-CB-0600</v>
      </c>
      <c r="J125" s="15" t="str">
        <f>IFERROR(INDEX(Items!$C$2:$C$500,MATCH(I125,Items!$H$2:$H$500,0)),"UNKNOWN")</f>
        <v>Catch Basin</v>
      </c>
      <c r="K125" s="24">
        <f>IF(J125="UNKNOWN","",INDEX(Items!$F$2:$F$500,MATCH(I125,Items!$H$2:$H$500,0)))</f>
        <v>690</v>
      </c>
      <c r="L125" s="24">
        <f t="shared" si="8"/>
        <v>5038.08</v>
      </c>
      <c r="M125" s="28">
        <f t="shared" si="9"/>
        <v>8</v>
      </c>
      <c r="N125" s="31">
        <f t="shared" si="10"/>
        <v>8.7304347826086981E-2</v>
      </c>
      <c r="O125" s="24">
        <f>IF(J125="UNKNOWN","",INDEX(Cost_Rollup!$F$5:$F$16,MATCH(I125,Cost_Rollup!$A$5:$A$16,0)))</f>
        <v>471.04880000000003</v>
      </c>
      <c r="P125" s="24">
        <f t="shared" si="11"/>
        <v>3768.3904000000002</v>
      </c>
      <c r="Q125" s="15" t="str">
        <f t="shared" si="12"/>
        <v/>
      </c>
      <c r="R125" s="15" t="str">
        <f t="shared" si="13"/>
        <v>OK</v>
      </c>
    </row>
    <row r="126" spans="1:18" x14ac:dyDescent="0.3">
      <c r="A126" s="12" t="s">
        <v>396</v>
      </c>
      <c r="B126" s="30">
        <v>45852</v>
      </c>
      <c r="C126" s="12" t="s">
        <v>260</v>
      </c>
      <c r="D126" s="12" t="s">
        <v>258</v>
      </c>
      <c r="E126" s="12" t="s">
        <v>70</v>
      </c>
      <c r="F126" s="12" t="s">
        <v>112</v>
      </c>
      <c r="G126" s="23">
        <v>8</v>
      </c>
      <c r="H126" s="22">
        <v>3866.06</v>
      </c>
      <c r="I126" s="15" t="str">
        <f t="shared" si="7"/>
        <v>PC-BOX-1812</v>
      </c>
      <c r="J126" s="15" t="str">
        <f>IFERROR(INDEX(Items!$C$2:$C$500,MATCH(I126,Items!$H$2:$H$500,0)),"UNKNOWN")</f>
        <v>Box Culvert</v>
      </c>
      <c r="K126" s="24">
        <f>IF(J126="UNKNOWN","",INDEX(Items!$F$2:$F$500,MATCH(I126,Items!$H$2:$H$500,0)))</f>
        <v>4200</v>
      </c>
      <c r="L126" s="24">
        <f t="shared" si="8"/>
        <v>30928.48</v>
      </c>
      <c r="M126" s="28">
        <f t="shared" si="9"/>
        <v>8</v>
      </c>
      <c r="N126" s="31">
        <f t="shared" si="10"/>
        <v>7.9509523809523808E-2</v>
      </c>
      <c r="O126" s="24">
        <f>IF(J126="UNKNOWN","",INDEX(Cost_Rollup!$F$5:$F$16,MATCH(I126,Cost_Rollup!$A$5:$A$16,0)))</f>
        <v>2795.3624</v>
      </c>
      <c r="P126" s="24">
        <f t="shared" si="11"/>
        <v>22362.8992</v>
      </c>
      <c r="Q126" s="15" t="str">
        <f t="shared" si="12"/>
        <v/>
      </c>
      <c r="R126" s="15" t="str">
        <f t="shared" si="13"/>
        <v>OK</v>
      </c>
    </row>
    <row r="127" spans="1:18" x14ac:dyDescent="0.3">
      <c r="A127" s="12" t="s">
        <v>397</v>
      </c>
      <c r="B127" s="30">
        <v>45852</v>
      </c>
      <c r="C127" s="12" t="s">
        <v>260</v>
      </c>
      <c r="D127" s="12" t="s">
        <v>258</v>
      </c>
      <c r="E127" s="12" t="s">
        <v>70</v>
      </c>
      <c r="F127" s="12" t="s">
        <v>125</v>
      </c>
      <c r="G127" s="23">
        <v>17</v>
      </c>
      <c r="H127" s="22">
        <v>1414.41</v>
      </c>
      <c r="I127" s="15" t="str">
        <f t="shared" si="7"/>
        <v>PC-BAR-F38</v>
      </c>
      <c r="J127" s="15" t="str">
        <f>IFERROR(INDEX(Items!$C$2:$C$500,MATCH(I127,Items!$H$2:$H$500,0)),"UNKNOWN")</f>
        <v>Barrier</v>
      </c>
      <c r="K127" s="24">
        <f>IF(J127="UNKNOWN","",INDEX(Items!$F$2:$F$500,MATCH(I127,Items!$H$2:$H$500,0)))</f>
        <v>1450</v>
      </c>
      <c r="L127" s="24">
        <f t="shared" si="8"/>
        <v>24044.97</v>
      </c>
      <c r="M127" s="28">
        <f t="shared" si="9"/>
        <v>17</v>
      </c>
      <c r="N127" s="31">
        <f t="shared" si="10"/>
        <v>2.4544827586206797E-2</v>
      </c>
      <c r="O127" s="24">
        <f>IF(J127="UNKNOWN","",INDEX(Cost_Rollup!$F$5:$F$16,MATCH(I127,Cost_Rollup!$A$5:$A$16,0)))</f>
        <v>978.66327999999999</v>
      </c>
      <c r="P127" s="24">
        <f t="shared" si="11"/>
        <v>16637.27576</v>
      </c>
      <c r="Q127" s="15" t="str">
        <f t="shared" si="12"/>
        <v/>
      </c>
      <c r="R127" s="15" t="str">
        <f t="shared" si="13"/>
        <v>OK</v>
      </c>
    </row>
    <row r="128" spans="1:18" x14ac:dyDescent="0.3">
      <c r="A128" s="12" t="s">
        <v>398</v>
      </c>
      <c r="B128" s="30">
        <v>45856</v>
      </c>
      <c r="C128" s="12" t="s">
        <v>265</v>
      </c>
      <c r="D128" s="12" t="s">
        <v>266</v>
      </c>
      <c r="E128" s="12" t="s">
        <v>70</v>
      </c>
      <c r="F128" s="12" t="s">
        <v>115</v>
      </c>
      <c r="G128" s="23">
        <v>3</v>
      </c>
      <c r="H128" s="22">
        <v>924.1</v>
      </c>
      <c r="I128" s="15" t="str">
        <f t="shared" si="7"/>
        <v>PC-MH-1050B</v>
      </c>
      <c r="J128" s="15" t="str">
        <f>IFERROR(INDEX(Items!$C$2:$C$500,MATCH(I128,Items!$H$2:$H$500,0)),"UNKNOWN")</f>
        <v>Manhole</v>
      </c>
      <c r="K128" s="24">
        <f>IF(J128="UNKNOWN","",INDEX(Items!$F$2:$F$500,MATCH(I128,Items!$H$2:$H$500,0)))</f>
        <v>980</v>
      </c>
      <c r="L128" s="24">
        <f t="shared" si="8"/>
        <v>2772.3</v>
      </c>
      <c r="M128" s="28">
        <f t="shared" si="9"/>
        <v>3</v>
      </c>
      <c r="N128" s="31">
        <f t="shared" si="10"/>
        <v>5.7040816326530575E-2</v>
      </c>
      <c r="O128" s="24">
        <f>IF(J128="UNKNOWN","",INDEX(Cost_Rollup!$F$5:$F$16,MATCH(I128,Cost_Rollup!$A$5:$A$16,0)))</f>
        <v>635.43299999999999</v>
      </c>
      <c r="P128" s="24">
        <f t="shared" si="11"/>
        <v>1906.299</v>
      </c>
      <c r="Q128" s="15" t="str">
        <f t="shared" si="12"/>
        <v/>
      </c>
      <c r="R128" s="15" t="str">
        <f t="shared" si="13"/>
        <v>OK</v>
      </c>
    </row>
    <row r="129" spans="1:18" x14ac:dyDescent="0.3">
      <c r="A129" s="12" t="s">
        <v>399</v>
      </c>
      <c r="B129" s="30">
        <v>45858</v>
      </c>
      <c r="C129" s="12" t="s">
        <v>268</v>
      </c>
      <c r="D129" s="12" t="s">
        <v>269</v>
      </c>
      <c r="E129" s="12" t="s">
        <v>70</v>
      </c>
      <c r="F129" s="12" t="s">
        <v>129</v>
      </c>
      <c r="G129" s="23">
        <v>24</v>
      </c>
      <c r="H129" s="22">
        <v>2328.04</v>
      </c>
      <c r="I129" s="15" t="str">
        <f t="shared" si="7"/>
        <v>PC-BAR-SS60</v>
      </c>
      <c r="J129" s="15" t="str">
        <f>IFERROR(INDEX(Items!$C$2:$C$500,MATCH(I129,Items!$H$2:$H$500,0)),"UNKNOWN")</f>
        <v>Barrier</v>
      </c>
      <c r="K129" s="24">
        <f>IF(J129="UNKNOWN","",INDEX(Items!$F$2:$F$500,MATCH(I129,Items!$H$2:$H$500,0)))</f>
        <v>2350</v>
      </c>
      <c r="L129" s="24">
        <f t="shared" si="8"/>
        <v>55872.959999999999</v>
      </c>
      <c r="M129" s="28">
        <f t="shared" si="9"/>
        <v>24</v>
      </c>
      <c r="N129" s="31">
        <f t="shared" si="10"/>
        <v>9.3446808510638801E-3</v>
      </c>
      <c r="O129" s="24">
        <f>IF(J129="UNKNOWN","",INDEX(Cost_Rollup!$F$5:$F$16,MATCH(I129,Cost_Rollup!$A$5:$A$16,0)))</f>
        <v>1583.5454</v>
      </c>
      <c r="P129" s="24">
        <f t="shared" si="11"/>
        <v>38005.089599999999</v>
      </c>
      <c r="Q129" s="15" t="str">
        <f t="shared" si="12"/>
        <v/>
      </c>
      <c r="R129" s="15" t="str">
        <f t="shared" si="13"/>
        <v>OK</v>
      </c>
    </row>
    <row r="130" spans="1:18" x14ac:dyDescent="0.3">
      <c r="A130" s="12" t="s">
        <v>400</v>
      </c>
      <c r="B130" s="30">
        <v>45858</v>
      </c>
      <c r="C130" s="12" t="s">
        <v>263</v>
      </c>
      <c r="D130" s="12" t="s">
        <v>258</v>
      </c>
      <c r="E130" s="12" t="s">
        <v>70</v>
      </c>
      <c r="F130" s="12" t="s">
        <v>122</v>
      </c>
      <c r="G130" s="23">
        <v>11</v>
      </c>
      <c r="H130" s="22">
        <v>632.74</v>
      </c>
      <c r="I130" s="15" t="str">
        <f t="shared" ref="I130:I193" si="14">UPPER(TRIM(F130))</f>
        <v>PC-CB-0600</v>
      </c>
      <c r="J130" s="15" t="str">
        <f>IFERROR(INDEX(Items!$C$2:$C$500,MATCH(I130,Items!$H$2:$H$500,0)),"UNKNOWN")</f>
        <v>Catch Basin</v>
      </c>
      <c r="K130" s="24">
        <f>IF(J130="UNKNOWN","",INDEX(Items!$F$2:$F$500,MATCH(I130,Items!$H$2:$H$500,0)))</f>
        <v>690</v>
      </c>
      <c r="L130" s="24">
        <f t="shared" ref="L130:L193" si="15">IF(ISNUMBER(H130),G130*H130,"")</f>
        <v>6960.14</v>
      </c>
      <c r="M130" s="28">
        <f t="shared" ref="M130:M193" si="16">IF(ISNUMBER(H130),G130,0)</f>
        <v>11</v>
      </c>
      <c r="N130" s="31">
        <f t="shared" ref="N130:N193" si="17">IF(AND(ISNUMBER(H130),ISNUMBER(K130)),1-H130/K130,"")</f>
        <v>8.2985507246376766E-2</v>
      </c>
      <c r="O130" s="24">
        <f>IF(J130="UNKNOWN","",INDEX(Cost_Rollup!$F$5:$F$16,MATCH(I130,Cost_Rollup!$A$5:$A$16,0)))</f>
        <v>471.04880000000003</v>
      </c>
      <c r="P130" s="24">
        <f t="shared" ref="P130:P193" si="18">IF(AND(ISNUMBER(L130),ISNUMBER(O130)),G130*O130,"")</f>
        <v>5181.5367999999999</v>
      </c>
      <c r="Q130" s="15" t="str">
        <f t="shared" ref="Q130:Q193" si="19">IF(H130="","Missing price; ","")&amp;IF(J130="UNKNOWN","Unknown item; ","")&amp;IF(AND(ISNUMBER(N130),N130&gt;Discount_Threshold),"Discount above limit; ","")</f>
        <v/>
      </c>
      <c r="R130" s="15" t="str">
        <f t="shared" ref="R130:R193" si="20">IF(Q130="","OK","CHECK")</f>
        <v>OK</v>
      </c>
    </row>
    <row r="131" spans="1:18" x14ac:dyDescent="0.3">
      <c r="A131" s="12" t="s">
        <v>401</v>
      </c>
      <c r="B131" s="30">
        <v>45859</v>
      </c>
      <c r="C131" s="12" t="s">
        <v>268</v>
      </c>
      <c r="D131" s="12" t="s">
        <v>269</v>
      </c>
      <c r="E131" s="12" t="s">
        <v>70</v>
      </c>
      <c r="F131" s="12" t="s">
        <v>110</v>
      </c>
      <c r="G131" s="23">
        <v>15</v>
      </c>
      <c r="H131" s="22">
        <v>1747.22</v>
      </c>
      <c r="I131" s="15" t="str">
        <f t="shared" si="14"/>
        <v>PC-RCP-1200</v>
      </c>
      <c r="J131" s="15" t="str">
        <f>IFERROR(INDEX(Items!$C$2:$C$500,MATCH(I131,Items!$H$2:$H$500,0)),"UNKNOWN")</f>
        <v>Pipe</v>
      </c>
      <c r="K131" s="24">
        <f>IF(J131="UNKNOWN","",INDEX(Items!$F$2:$F$500,MATCH(I131,Items!$H$2:$H$500,0)))</f>
        <v>1890</v>
      </c>
      <c r="L131" s="24">
        <f t="shared" si="15"/>
        <v>26208.3</v>
      </c>
      <c r="M131" s="28">
        <f t="shared" si="16"/>
        <v>15</v>
      </c>
      <c r="N131" s="31">
        <f t="shared" si="17"/>
        <v>7.5544973544973582E-2</v>
      </c>
      <c r="O131" s="24">
        <f>IF(J131="UNKNOWN","",INDEX(Cost_Rollup!$F$5:$F$16,MATCH(I131,Cost_Rollup!$A$5:$A$16,0)))</f>
        <v>1206.4054000000001</v>
      </c>
      <c r="P131" s="24">
        <f t="shared" si="18"/>
        <v>18096.081000000002</v>
      </c>
      <c r="Q131" s="15" t="str">
        <f t="shared" si="19"/>
        <v/>
      </c>
      <c r="R131" s="15" t="str">
        <f t="shared" si="20"/>
        <v>OK</v>
      </c>
    </row>
    <row r="132" spans="1:18" x14ac:dyDescent="0.3">
      <c r="A132" s="12" t="s">
        <v>402</v>
      </c>
      <c r="B132" s="30">
        <v>45860</v>
      </c>
      <c r="C132" s="12" t="s">
        <v>292</v>
      </c>
      <c r="D132" s="12" t="s">
        <v>277</v>
      </c>
      <c r="E132" s="12" t="s">
        <v>70</v>
      </c>
      <c r="F132" s="12" t="s">
        <v>129</v>
      </c>
      <c r="G132" s="23">
        <v>26</v>
      </c>
      <c r="H132" s="22">
        <v>2327.0500000000002</v>
      </c>
      <c r="I132" s="15" t="str">
        <f t="shared" si="14"/>
        <v>PC-BAR-SS60</v>
      </c>
      <c r="J132" s="15" t="str">
        <f>IFERROR(INDEX(Items!$C$2:$C$500,MATCH(I132,Items!$H$2:$H$500,0)),"UNKNOWN")</f>
        <v>Barrier</v>
      </c>
      <c r="K132" s="24">
        <f>IF(J132="UNKNOWN","",INDEX(Items!$F$2:$F$500,MATCH(I132,Items!$H$2:$H$500,0)))</f>
        <v>2350</v>
      </c>
      <c r="L132" s="24">
        <f t="shared" si="15"/>
        <v>60503.3</v>
      </c>
      <c r="M132" s="28">
        <f t="shared" si="16"/>
        <v>26</v>
      </c>
      <c r="N132" s="31">
        <f t="shared" si="17"/>
        <v>9.7659574468084154E-3</v>
      </c>
      <c r="O132" s="24">
        <f>IF(J132="UNKNOWN","",INDEX(Cost_Rollup!$F$5:$F$16,MATCH(I132,Cost_Rollup!$A$5:$A$16,0)))</f>
        <v>1583.5454</v>
      </c>
      <c r="P132" s="24">
        <f t="shared" si="18"/>
        <v>41172.180399999997</v>
      </c>
      <c r="Q132" s="15" t="str">
        <f t="shared" si="19"/>
        <v/>
      </c>
      <c r="R132" s="15" t="str">
        <f t="shared" si="20"/>
        <v>OK</v>
      </c>
    </row>
    <row r="133" spans="1:18" x14ac:dyDescent="0.3">
      <c r="A133" s="12" t="s">
        <v>403</v>
      </c>
      <c r="B133" s="30">
        <v>45862</v>
      </c>
      <c r="C133" s="12" t="s">
        <v>292</v>
      </c>
      <c r="D133" s="12" t="s">
        <v>277</v>
      </c>
      <c r="E133" s="12" t="s">
        <v>70</v>
      </c>
      <c r="F133" s="12" t="s">
        <v>125</v>
      </c>
      <c r="G133" s="23">
        <v>17</v>
      </c>
      <c r="H133" s="22">
        <v>1381.33</v>
      </c>
      <c r="I133" s="15" t="str">
        <f t="shared" si="14"/>
        <v>PC-BAR-F38</v>
      </c>
      <c r="J133" s="15" t="str">
        <f>IFERROR(INDEX(Items!$C$2:$C$500,MATCH(I133,Items!$H$2:$H$500,0)),"UNKNOWN")</f>
        <v>Barrier</v>
      </c>
      <c r="K133" s="24">
        <f>IF(J133="UNKNOWN","",INDEX(Items!$F$2:$F$500,MATCH(I133,Items!$H$2:$H$500,0)))</f>
        <v>1450</v>
      </c>
      <c r="L133" s="24">
        <f t="shared" si="15"/>
        <v>23482.61</v>
      </c>
      <c r="M133" s="28">
        <f t="shared" si="16"/>
        <v>17</v>
      </c>
      <c r="N133" s="31">
        <f t="shared" si="17"/>
        <v>4.735862068965524E-2</v>
      </c>
      <c r="O133" s="24">
        <f>IF(J133="UNKNOWN","",INDEX(Cost_Rollup!$F$5:$F$16,MATCH(I133,Cost_Rollup!$A$5:$A$16,0)))</f>
        <v>978.66327999999999</v>
      </c>
      <c r="P133" s="24">
        <f t="shared" si="18"/>
        <v>16637.27576</v>
      </c>
      <c r="Q133" s="15" t="str">
        <f t="shared" si="19"/>
        <v/>
      </c>
      <c r="R133" s="15" t="str">
        <f t="shared" si="20"/>
        <v>OK</v>
      </c>
    </row>
    <row r="134" spans="1:18" x14ac:dyDescent="0.3">
      <c r="A134" s="12" t="s">
        <v>404</v>
      </c>
      <c r="B134" s="30">
        <v>45862</v>
      </c>
      <c r="C134" s="12" t="s">
        <v>268</v>
      </c>
      <c r="D134" s="12" t="s">
        <v>269</v>
      </c>
      <c r="E134" s="12" t="s">
        <v>70</v>
      </c>
      <c r="F134" s="12" t="s">
        <v>120</v>
      </c>
      <c r="G134" s="23">
        <v>7</v>
      </c>
      <c r="H134" s="22">
        <v>531.19000000000005</v>
      </c>
      <c r="I134" s="15" t="str">
        <f t="shared" si="14"/>
        <v>PC-MH-1200R</v>
      </c>
      <c r="J134" s="15" t="str">
        <f>IFERROR(INDEX(Items!$C$2:$C$500,MATCH(I134,Items!$H$2:$H$500,0)),"UNKNOWN")</f>
        <v>Manhole</v>
      </c>
      <c r="K134" s="24">
        <f>IF(J134="UNKNOWN","",INDEX(Items!$F$2:$F$500,MATCH(I134,Items!$H$2:$H$500,0)))</f>
        <v>520</v>
      </c>
      <c r="L134" s="24">
        <f t="shared" si="15"/>
        <v>3718.3300000000004</v>
      </c>
      <c r="M134" s="28">
        <f t="shared" si="16"/>
        <v>7</v>
      </c>
      <c r="N134" s="31">
        <f t="shared" si="17"/>
        <v>-2.1519230769230902E-2</v>
      </c>
      <c r="O134" s="24">
        <f>IF(J134="UNKNOWN","",INDEX(Cost_Rollup!$F$5:$F$16,MATCH(I134,Cost_Rollup!$A$5:$A$16,0)))</f>
        <v>381.98428000000001</v>
      </c>
      <c r="P134" s="24">
        <f t="shared" si="18"/>
        <v>2673.88996</v>
      </c>
      <c r="Q134" s="15" t="str">
        <f t="shared" si="19"/>
        <v/>
      </c>
      <c r="R134" s="15" t="str">
        <f t="shared" si="20"/>
        <v>OK</v>
      </c>
    </row>
    <row r="135" spans="1:18" x14ac:dyDescent="0.3">
      <c r="A135" s="12" t="s">
        <v>405</v>
      </c>
      <c r="B135" s="30">
        <v>45862</v>
      </c>
      <c r="C135" s="12" t="s">
        <v>257</v>
      </c>
      <c r="D135" s="12" t="s">
        <v>258</v>
      </c>
      <c r="E135" s="12" t="s">
        <v>70</v>
      </c>
      <c r="F135" s="12" t="s">
        <v>125</v>
      </c>
      <c r="G135" s="23">
        <v>21</v>
      </c>
      <c r="H135" s="22">
        <v>1368.02</v>
      </c>
      <c r="I135" s="15" t="str">
        <f t="shared" si="14"/>
        <v>PC-BAR-F38</v>
      </c>
      <c r="J135" s="15" t="str">
        <f>IFERROR(INDEX(Items!$C$2:$C$500,MATCH(I135,Items!$H$2:$H$500,0)),"UNKNOWN")</f>
        <v>Barrier</v>
      </c>
      <c r="K135" s="24">
        <f>IF(J135="UNKNOWN","",INDEX(Items!$F$2:$F$500,MATCH(I135,Items!$H$2:$H$500,0)))</f>
        <v>1450</v>
      </c>
      <c r="L135" s="24">
        <f t="shared" si="15"/>
        <v>28728.42</v>
      </c>
      <c r="M135" s="28">
        <f t="shared" si="16"/>
        <v>21</v>
      </c>
      <c r="N135" s="31">
        <f t="shared" si="17"/>
        <v>5.6537931034482791E-2</v>
      </c>
      <c r="O135" s="24">
        <f>IF(J135="UNKNOWN","",INDEX(Cost_Rollup!$F$5:$F$16,MATCH(I135,Cost_Rollup!$A$5:$A$16,0)))</f>
        <v>978.66327999999999</v>
      </c>
      <c r="P135" s="24">
        <f t="shared" si="18"/>
        <v>20551.928879999999</v>
      </c>
      <c r="Q135" s="15" t="str">
        <f t="shared" si="19"/>
        <v/>
      </c>
      <c r="R135" s="15" t="str">
        <f t="shared" si="20"/>
        <v>OK</v>
      </c>
    </row>
    <row r="136" spans="1:18" x14ac:dyDescent="0.3">
      <c r="A136" s="12" t="s">
        <v>406</v>
      </c>
      <c r="B136" s="30">
        <v>45864</v>
      </c>
      <c r="C136" s="12" t="s">
        <v>273</v>
      </c>
      <c r="D136" s="12" t="s">
        <v>274</v>
      </c>
      <c r="E136" s="12" t="s">
        <v>147</v>
      </c>
      <c r="F136" s="12" t="s">
        <v>125</v>
      </c>
      <c r="G136" s="23">
        <v>38</v>
      </c>
      <c r="H136" s="22">
        <v>1469.85</v>
      </c>
      <c r="I136" s="15" t="str">
        <f t="shared" si="14"/>
        <v>PC-BAR-F38</v>
      </c>
      <c r="J136" s="15" t="str">
        <f>IFERROR(INDEX(Items!$C$2:$C$500,MATCH(I136,Items!$H$2:$H$500,0)),"UNKNOWN")</f>
        <v>Barrier</v>
      </c>
      <c r="K136" s="24">
        <f>IF(J136="UNKNOWN","",INDEX(Items!$F$2:$F$500,MATCH(I136,Items!$H$2:$H$500,0)))</f>
        <v>1450</v>
      </c>
      <c r="L136" s="24">
        <f t="shared" si="15"/>
        <v>55854.299999999996</v>
      </c>
      <c r="M136" s="28">
        <f t="shared" si="16"/>
        <v>38</v>
      </c>
      <c r="N136" s="31">
        <f t="shared" si="17"/>
        <v>-1.3689655172413717E-2</v>
      </c>
      <c r="O136" s="24">
        <f>IF(J136="UNKNOWN","",INDEX(Cost_Rollup!$F$5:$F$16,MATCH(I136,Cost_Rollup!$A$5:$A$16,0)))</f>
        <v>978.66327999999999</v>
      </c>
      <c r="P136" s="24">
        <f t="shared" si="18"/>
        <v>37189.204639999996</v>
      </c>
      <c r="Q136" s="15" t="str">
        <f t="shared" si="19"/>
        <v/>
      </c>
      <c r="R136" s="15" t="str">
        <f t="shared" si="20"/>
        <v>OK</v>
      </c>
    </row>
    <row r="137" spans="1:18" x14ac:dyDescent="0.3">
      <c r="A137" s="12" t="s">
        <v>407</v>
      </c>
      <c r="B137" s="30">
        <v>45865</v>
      </c>
      <c r="C137" s="12" t="s">
        <v>265</v>
      </c>
      <c r="D137" s="12" t="s">
        <v>266</v>
      </c>
      <c r="E137" s="12" t="s">
        <v>70</v>
      </c>
      <c r="F137" s="12" t="s">
        <v>129</v>
      </c>
      <c r="G137" s="23">
        <v>40</v>
      </c>
      <c r="H137" s="22">
        <v>2214.65</v>
      </c>
      <c r="I137" s="15" t="str">
        <f t="shared" si="14"/>
        <v>PC-BAR-SS60</v>
      </c>
      <c r="J137" s="15" t="str">
        <f>IFERROR(INDEX(Items!$C$2:$C$500,MATCH(I137,Items!$H$2:$H$500,0)),"UNKNOWN")</f>
        <v>Barrier</v>
      </c>
      <c r="K137" s="24">
        <f>IF(J137="UNKNOWN","",INDEX(Items!$F$2:$F$500,MATCH(I137,Items!$H$2:$H$500,0)))</f>
        <v>2350</v>
      </c>
      <c r="L137" s="24">
        <f t="shared" si="15"/>
        <v>88586</v>
      </c>
      <c r="M137" s="28">
        <f t="shared" si="16"/>
        <v>40</v>
      </c>
      <c r="N137" s="31">
        <f t="shared" si="17"/>
        <v>5.7595744680851046E-2</v>
      </c>
      <c r="O137" s="24">
        <f>IF(J137="UNKNOWN","",INDEX(Cost_Rollup!$F$5:$F$16,MATCH(I137,Cost_Rollup!$A$5:$A$16,0)))</f>
        <v>1583.5454</v>
      </c>
      <c r="P137" s="24">
        <f t="shared" si="18"/>
        <v>63341.815999999999</v>
      </c>
      <c r="Q137" s="15" t="str">
        <f t="shared" si="19"/>
        <v/>
      </c>
      <c r="R137" s="15" t="str">
        <f t="shared" si="20"/>
        <v>OK</v>
      </c>
    </row>
    <row r="138" spans="1:18" x14ac:dyDescent="0.3">
      <c r="A138" s="12" t="s">
        <v>408</v>
      </c>
      <c r="B138" s="30">
        <v>45867</v>
      </c>
      <c r="C138" s="12" t="s">
        <v>257</v>
      </c>
      <c r="D138" s="12" t="s">
        <v>258</v>
      </c>
      <c r="E138" s="12" t="s">
        <v>70</v>
      </c>
      <c r="F138" s="12" t="s">
        <v>112</v>
      </c>
      <c r="G138" s="23">
        <v>10</v>
      </c>
      <c r="H138" s="22">
        <v>4267.4799999999996</v>
      </c>
      <c r="I138" s="15" t="str">
        <f t="shared" si="14"/>
        <v>PC-BOX-1812</v>
      </c>
      <c r="J138" s="15" t="str">
        <f>IFERROR(INDEX(Items!$C$2:$C$500,MATCH(I138,Items!$H$2:$H$500,0)),"UNKNOWN")</f>
        <v>Box Culvert</v>
      </c>
      <c r="K138" s="24">
        <f>IF(J138="UNKNOWN","",INDEX(Items!$F$2:$F$500,MATCH(I138,Items!$H$2:$H$500,0)))</f>
        <v>4200</v>
      </c>
      <c r="L138" s="24">
        <f t="shared" si="15"/>
        <v>42674.799999999996</v>
      </c>
      <c r="M138" s="28">
        <f t="shared" si="16"/>
        <v>10</v>
      </c>
      <c r="N138" s="31">
        <f t="shared" si="17"/>
        <v>-1.6066666666666674E-2</v>
      </c>
      <c r="O138" s="24">
        <f>IF(J138="UNKNOWN","",INDEX(Cost_Rollup!$F$5:$F$16,MATCH(I138,Cost_Rollup!$A$5:$A$16,0)))</f>
        <v>2795.3624</v>
      </c>
      <c r="P138" s="24">
        <f t="shared" si="18"/>
        <v>27953.624</v>
      </c>
      <c r="Q138" s="15" t="str">
        <f t="shared" si="19"/>
        <v/>
      </c>
      <c r="R138" s="15" t="str">
        <f t="shared" si="20"/>
        <v>OK</v>
      </c>
    </row>
    <row r="139" spans="1:18" x14ac:dyDescent="0.3">
      <c r="A139" s="12" t="s">
        <v>409</v>
      </c>
      <c r="B139" s="30">
        <v>45867</v>
      </c>
      <c r="C139" s="12" t="s">
        <v>263</v>
      </c>
      <c r="D139" s="12" t="s">
        <v>258</v>
      </c>
      <c r="E139" s="12" t="s">
        <v>70</v>
      </c>
      <c r="F139" s="12" t="s">
        <v>125</v>
      </c>
      <c r="G139" s="23">
        <v>26</v>
      </c>
      <c r="H139" s="22">
        <v>1441.85</v>
      </c>
      <c r="I139" s="15" t="str">
        <f t="shared" si="14"/>
        <v>PC-BAR-F38</v>
      </c>
      <c r="J139" s="15" t="str">
        <f>IFERROR(INDEX(Items!$C$2:$C$500,MATCH(I139,Items!$H$2:$H$500,0)),"UNKNOWN")</f>
        <v>Barrier</v>
      </c>
      <c r="K139" s="24">
        <f>IF(J139="UNKNOWN","",INDEX(Items!$F$2:$F$500,MATCH(I139,Items!$H$2:$H$500,0)))</f>
        <v>1450</v>
      </c>
      <c r="L139" s="24">
        <f t="shared" si="15"/>
        <v>37488.1</v>
      </c>
      <c r="M139" s="28">
        <f t="shared" si="16"/>
        <v>26</v>
      </c>
      <c r="N139" s="31">
        <f t="shared" si="17"/>
        <v>5.6206896551724839E-3</v>
      </c>
      <c r="O139" s="24">
        <f>IF(J139="UNKNOWN","",INDEX(Cost_Rollup!$F$5:$F$16,MATCH(I139,Cost_Rollup!$A$5:$A$16,0)))</f>
        <v>978.66327999999999</v>
      </c>
      <c r="P139" s="24">
        <f t="shared" si="18"/>
        <v>25445.245279999999</v>
      </c>
      <c r="Q139" s="15" t="str">
        <f t="shared" si="19"/>
        <v/>
      </c>
      <c r="R139" s="15" t="str">
        <f t="shared" si="20"/>
        <v>OK</v>
      </c>
    </row>
    <row r="140" spans="1:18" x14ac:dyDescent="0.3">
      <c r="A140" s="12" t="s">
        <v>410</v>
      </c>
      <c r="B140" s="30">
        <v>45867</v>
      </c>
      <c r="C140" s="12" t="s">
        <v>268</v>
      </c>
      <c r="D140" s="12" t="s">
        <v>269</v>
      </c>
      <c r="E140" s="12" t="s">
        <v>70</v>
      </c>
      <c r="F140" s="12" t="s">
        <v>112</v>
      </c>
      <c r="G140" s="23">
        <v>2</v>
      </c>
      <c r="H140" s="22">
        <v>4259.18</v>
      </c>
      <c r="I140" s="15" t="str">
        <f t="shared" si="14"/>
        <v>PC-BOX-1812</v>
      </c>
      <c r="J140" s="15" t="str">
        <f>IFERROR(INDEX(Items!$C$2:$C$500,MATCH(I140,Items!$H$2:$H$500,0)),"UNKNOWN")</f>
        <v>Box Culvert</v>
      </c>
      <c r="K140" s="24">
        <f>IF(J140="UNKNOWN","",INDEX(Items!$F$2:$F$500,MATCH(I140,Items!$H$2:$H$500,0)))</f>
        <v>4200</v>
      </c>
      <c r="L140" s="24">
        <f t="shared" si="15"/>
        <v>8518.36</v>
      </c>
      <c r="M140" s="28">
        <f t="shared" si="16"/>
        <v>2</v>
      </c>
      <c r="N140" s="31">
        <f t="shared" si="17"/>
        <v>-1.409047619047632E-2</v>
      </c>
      <c r="O140" s="24">
        <f>IF(J140="UNKNOWN","",INDEX(Cost_Rollup!$F$5:$F$16,MATCH(I140,Cost_Rollup!$A$5:$A$16,0)))</f>
        <v>2795.3624</v>
      </c>
      <c r="P140" s="24">
        <f t="shared" si="18"/>
        <v>5590.7248</v>
      </c>
      <c r="Q140" s="15" t="str">
        <f t="shared" si="19"/>
        <v/>
      </c>
      <c r="R140" s="15" t="str">
        <f t="shared" si="20"/>
        <v>OK</v>
      </c>
    </row>
    <row r="141" spans="1:18" x14ac:dyDescent="0.3">
      <c r="A141" s="12" t="s">
        <v>411</v>
      </c>
      <c r="B141" s="30">
        <v>45868</v>
      </c>
      <c r="C141" s="12" t="s">
        <v>268</v>
      </c>
      <c r="D141" s="12" t="s">
        <v>269</v>
      </c>
      <c r="E141" s="12" t="s">
        <v>70</v>
      </c>
      <c r="F141" s="12" t="s">
        <v>125</v>
      </c>
      <c r="G141" s="23">
        <v>37</v>
      </c>
      <c r="H141" s="22">
        <v>1446.76</v>
      </c>
      <c r="I141" s="15" t="str">
        <f t="shared" si="14"/>
        <v>PC-BAR-F38</v>
      </c>
      <c r="J141" s="15" t="str">
        <f>IFERROR(INDEX(Items!$C$2:$C$500,MATCH(I141,Items!$H$2:$H$500,0)),"UNKNOWN")</f>
        <v>Barrier</v>
      </c>
      <c r="K141" s="24">
        <f>IF(J141="UNKNOWN","",INDEX(Items!$F$2:$F$500,MATCH(I141,Items!$H$2:$H$500,0)))</f>
        <v>1450</v>
      </c>
      <c r="L141" s="24">
        <f t="shared" si="15"/>
        <v>53530.12</v>
      </c>
      <c r="M141" s="28">
        <f t="shared" si="16"/>
        <v>37</v>
      </c>
      <c r="N141" s="31">
        <f t="shared" si="17"/>
        <v>2.2344827586207039E-3</v>
      </c>
      <c r="O141" s="24">
        <f>IF(J141="UNKNOWN","",INDEX(Cost_Rollup!$F$5:$F$16,MATCH(I141,Cost_Rollup!$A$5:$A$16,0)))</f>
        <v>978.66327999999999</v>
      </c>
      <c r="P141" s="24">
        <f t="shared" si="18"/>
        <v>36210.541360000003</v>
      </c>
      <c r="Q141" s="15" t="str">
        <f t="shared" si="19"/>
        <v/>
      </c>
      <c r="R141" s="15" t="str">
        <f t="shared" si="20"/>
        <v>OK</v>
      </c>
    </row>
    <row r="142" spans="1:18" x14ac:dyDescent="0.3">
      <c r="A142" s="12" t="s">
        <v>412</v>
      </c>
      <c r="B142" s="30">
        <v>45868</v>
      </c>
      <c r="C142" s="12" t="s">
        <v>273</v>
      </c>
      <c r="D142" s="12" t="s">
        <v>274</v>
      </c>
      <c r="E142" s="12" t="s">
        <v>147</v>
      </c>
      <c r="F142" s="12" t="s">
        <v>112</v>
      </c>
      <c r="G142" s="23">
        <v>6</v>
      </c>
      <c r="H142" s="22">
        <v>4269.12</v>
      </c>
      <c r="I142" s="15" t="str">
        <f t="shared" si="14"/>
        <v>PC-BOX-1812</v>
      </c>
      <c r="J142" s="15" t="str">
        <f>IFERROR(INDEX(Items!$C$2:$C$500,MATCH(I142,Items!$H$2:$H$500,0)),"UNKNOWN")</f>
        <v>Box Culvert</v>
      </c>
      <c r="K142" s="24">
        <f>IF(J142="UNKNOWN","",INDEX(Items!$F$2:$F$500,MATCH(I142,Items!$H$2:$H$500,0)))</f>
        <v>4200</v>
      </c>
      <c r="L142" s="24">
        <f t="shared" si="15"/>
        <v>25614.720000000001</v>
      </c>
      <c r="M142" s="28">
        <f t="shared" si="16"/>
        <v>6</v>
      </c>
      <c r="N142" s="31">
        <f t="shared" si="17"/>
        <v>-1.6457142857142726E-2</v>
      </c>
      <c r="O142" s="24">
        <f>IF(J142="UNKNOWN","",INDEX(Cost_Rollup!$F$5:$F$16,MATCH(I142,Cost_Rollup!$A$5:$A$16,0)))</f>
        <v>2795.3624</v>
      </c>
      <c r="P142" s="24">
        <f t="shared" si="18"/>
        <v>16772.1744</v>
      </c>
      <c r="Q142" s="15" t="str">
        <f t="shared" si="19"/>
        <v/>
      </c>
      <c r="R142" s="15" t="str">
        <f t="shared" si="20"/>
        <v>OK</v>
      </c>
    </row>
    <row r="143" spans="1:18" x14ac:dyDescent="0.3">
      <c r="A143" s="12" t="s">
        <v>413</v>
      </c>
      <c r="B143" s="30">
        <v>45868</v>
      </c>
      <c r="C143" s="12" t="s">
        <v>263</v>
      </c>
      <c r="D143" s="12" t="s">
        <v>258</v>
      </c>
      <c r="E143" s="12" t="s">
        <v>70</v>
      </c>
      <c r="F143" s="12" t="s">
        <v>112</v>
      </c>
      <c r="G143" s="23">
        <v>5</v>
      </c>
      <c r="H143" s="22">
        <v>3810.05</v>
      </c>
      <c r="I143" s="15" t="str">
        <f t="shared" si="14"/>
        <v>PC-BOX-1812</v>
      </c>
      <c r="J143" s="15" t="str">
        <f>IFERROR(INDEX(Items!$C$2:$C$500,MATCH(I143,Items!$H$2:$H$500,0)),"UNKNOWN")</f>
        <v>Box Culvert</v>
      </c>
      <c r="K143" s="24">
        <f>IF(J143="UNKNOWN","",INDEX(Items!$F$2:$F$500,MATCH(I143,Items!$H$2:$H$500,0)))</f>
        <v>4200</v>
      </c>
      <c r="L143" s="24">
        <f t="shared" si="15"/>
        <v>19050.25</v>
      </c>
      <c r="M143" s="28">
        <f t="shared" si="16"/>
        <v>5</v>
      </c>
      <c r="N143" s="31">
        <f t="shared" si="17"/>
        <v>9.2845238095238036E-2</v>
      </c>
      <c r="O143" s="24">
        <f>IF(J143="UNKNOWN","",INDEX(Cost_Rollup!$F$5:$F$16,MATCH(I143,Cost_Rollup!$A$5:$A$16,0)))</f>
        <v>2795.3624</v>
      </c>
      <c r="P143" s="24">
        <f t="shared" si="18"/>
        <v>13976.812</v>
      </c>
      <c r="Q143" s="15" t="str">
        <f t="shared" si="19"/>
        <v/>
      </c>
      <c r="R143" s="15" t="str">
        <f t="shared" si="20"/>
        <v>OK</v>
      </c>
    </row>
    <row r="144" spans="1:18" x14ac:dyDescent="0.3">
      <c r="A144" s="12" t="s">
        <v>414</v>
      </c>
      <c r="B144" s="30">
        <v>45870</v>
      </c>
      <c r="C144" s="12" t="s">
        <v>260</v>
      </c>
      <c r="D144" s="12" t="s">
        <v>258</v>
      </c>
      <c r="E144" s="12" t="s">
        <v>70</v>
      </c>
      <c r="F144" s="12" t="s">
        <v>108</v>
      </c>
      <c r="G144" s="23">
        <v>29</v>
      </c>
      <c r="H144" s="22">
        <v>1194.3800000000001</v>
      </c>
      <c r="I144" s="15" t="str">
        <f t="shared" si="14"/>
        <v>PC-RCP-0900</v>
      </c>
      <c r="J144" s="15" t="str">
        <f>IFERROR(INDEX(Items!$C$2:$C$500,MATCH(I144,Items!$H$2:$H$500,0)),"UNKNOWN")</f>
        <v>Pipe</v>
      </c>
      <c r="K144" s="24">
        <f>IF(J144="UNKNOWN","",INDEX(Items!$F$2:$F$500,MATCH(I144,Items!$H$2:$H$500,0)))</f>
        <v>1150</v>
      </c>
      <c r="L144" s="24">
        <f t="shared" si="15"/>
        <v>34637.020000000004</v>
      </c>
      <c r="M144" s="28">
        <f t="shared" si="16"/>
        <v>29</v>
      </c>
      <c r="N144" s="31">
        <f t="shared" si="17"/>
        <v>-3.8591304347826094E-2</v>
      </c>
      <c r="O144" s="24">
        <f>IF(J144="UNKNOWN","",INDEX(Cost_Rollup!$F$5:$F$16,MATCH(I144,Cost_Rollup!$A$5:$A$16,0)))</f>
        <v>750.43372656869997</v>
      </c>
      <c r="P144" s="24">
        <f t="shared" si="18"/>
        <v>21762.578070492298</v>
      </c>
      <c r="Q144" s="15" t="str">
        <f t="shared" si="19"/>
        <v/>
      </c>
      <c r="R144" s="15" t="str">
        <f t="shared" si="20"/>
        <v>OK</v>
      </c>
    </row>
    <row r="145" spans="1:18" x14ac:dyDescent="0.3">
      <c r="A145" s="12" t="s">
        <v>415</v>
      </c>
      <c r="B145" s="30">
        <v>45871</v>
      </c>
      <c r="C145" s="12" t="s">
        <v>292</v>
      </c>
      <c r="D145" s="12" t="s">
        <v>277</v>
      </c>
      <c r="E145" s="12" t="s">
        <v>70</v>
      </c>
      <c r="F145" s="12" t="s">
        <v>118</v>
      </c>
      <c r="G145" s="23">
        <v>3</v>
      </c>
      <c r="H145" s="22">
        <v>1240.0899999999999</v>
      </c>
      <c r="I145" s="15" t="str">
        <f t="shared" si="14"/>
        <v>PC-MH-1200B</v>
      </c>
      <c r="J145" s="15" t="str">
        <f>IFERROR(INDEX(Items!$C$2:$C$500,MATCH(I145,Items!$H$2:$H$500,0)),"UNKNOWN")</f>
        <v>Manhole</v>
      </c>
      <c r="K145" s="24">
        <f>IF(J145="UNKNOWN","",INDEX(Items!$F$2:$F$500,MATCH(I145,Items!$H$2:$H$500,0)))</f>
        <v>1240</v>
      </c>
      <c r="L145" s="24">
        <f t="shared" si="15"/>
        <v>3720.2699999999995</v>
      </c>
      <c r="M145" s="28">
        <f t="shared" si="16"/>
        <v>3</v>
      </c>
      <c r="N145" s="31">
        <f t="shared" si="17"/>
        <v>-7.2580645161135493E-5</v>
      </c>
      <c r="O145" s="24">
        <f>IF(J145="UNKNOWN","",INDEX(Cost_Rollup!$F$5:$F$16,MATCH(I145,Cost_Rollup!$A$5:$A$16,0)))</f>
        <v>753.42079999999999</v>
      </c>
      <c r="P145" s="24">
        <f t="shared" si="18"/>
        <v>2260.2624000000001</v>
      </c>
      <c r="Q145" s="15" t="str">
        <f t="shared" si="19"/>
        <v/>
      </c>
      <c r="R145" s="15" t="str">
        <f t="shared" si="20"/>
        <v>OK</v>
      </c>
    </row>
    <row r="146" spans="1:18" x14ac:dyDescent="0.3">
      <c r="A146" s="12" t="s">
        <v>416</v>
      </c>
      <c r="B146" s="30">
        <v>45871</v>
      </c>
      <c r="C146" s="12" t="s">
        <v>292</v>
      </c>
      <c r="D146" s="12" t="s">
        <v>277</v>
      </c>
      <c r="E146" s="12" t="s">
        <v>70</v>
      </c>
      <c r="F146" s="12" t="s">
        <v>120</v>
      </c>
      <c r="G146" s="23">
        <v>2</v>
      </c>
      <c r="H146" s="22">
        <v>486.62</v>
      </c>
      <c r="I146" s="15" t="str">
        <f t="shared" si="14"/>
        <v>PC-MH-1200R</v>
      </c>
      <c r="J146" s="15" t="str">
        <f>IFERROR(INDEX(Items!$C$2:$C$500,MATCH(I146,Items!$H$2:$H$500,0)),"UNKNOWN")</f>
        <v>Manhole</v>
      </c>
      <c r="K146" s="24">
        <f>IF(J146="UNKNOWN","",INDEX(Items!$F$2:$F$500,MATCH(I146,Items!$H$2:$H$500,0)))</f>
        <v>520</v>
      </c>
      <c r="L146" s="24">
        <f t="shared" si="15"/>
        <v>973.24</v>
      </c>
      <c r="M146" s="28">
        <f t="shared" si="16"/>
        <v>2</v>
      </c>
      <c r="N146" s="31">
        <f t="shared" si="17"/>
        <v>6.419230769230766E-2</v>
      </c>
      <c r="O146" s="24">
        <f>IF(J146="UNKNOWN","",INDEX(Cost_Rollup!$F$5:$F$16,MATCH(I146,Cost_Rollup!$A$5:$A$16,0)))</f>
        <v>381.98428000000001</v>
      </c>
      <c r="P146" s="24">
        <f t="shared" si="18"/>
        <v>763.96856000000002</v>
      </c>
      <c r="Q146" s="15" t="str">
        <f t="shared" si="19"/>
        <v/>
      </c>
      <c r="R146" s="15" t="str">
        <f t="shared" si="20"/>
        <v>OK</v>
      </c>
    </row>
    <row r="147" spans="1:18" x14ac:dyDescent="0.3">
      <c r="A147" s="12" t="s">
        <v>417</v>
      </c>
      <c r="B147" s="30">
        <v>45873</v>
      </c>
      <c r="C147" s="12" t="s">
        <v>268</v>
      </c>
      <c r="D147" s="12" t="s">
        <v>269</v>
      </c>
      <c r="E147" s="12" t="s">
        <v>70</v>
      </c>
      <c r="F147" s="12" t="s">
        <v>120</v>
      </c>
      <c r="G147" s="23">
        <v>1</v>
      </c>
      <c r="H147" s="22">
        <v>472.17</v>
      </c>
      <c r="I147" s="15" t="str">
        <f t="shared" si="14"/>
        <v>PC-MH-1200R</v>
      </c>
      <c r="J147" s="15" t="str">
        <f>IFERROR(INDEX(Items!$C$2:$C$500,MATCH(I147,Items!$H$2:$H$500,0)),"UNKNOWN")</f>
        <v>Manhole</v>
      </c>
      <c r="K147" s="24">
        <f>IF(J147="UNKNOWN","",INDEX(Items!$F$2:$F$500,MATCH(I147,Items!$H$2:$H$500,0)))</f>
        <v>520</v>
      </c>
      <c r="L147" s="24">
        <f t="shared" si="15"/>
        <v>472.17</v>
      </c>
      <c r="M147" s="28">
        <f t="shared" si="16"/>
        <v>1</v>
      </c>
      <c r="N147" s="31">
        <f t="shared" si="17"/>
        <v>9.1980769230769255E-2</v>
      </c>
      <c r="O147" s="24">
        <f>IF(J147="UNKNOWN","",INDEX(Cost_Rollup!$F$5:$F$16,MATCH(I147,Cost_Rollup!$A$5:$A$16,0)))</f>
        <v>381.98428000000001</v>
      </c>
      <c r="P147" s="24">
        <f t="shared" si="18"/>
        <v>381.98428000000001</v>
      </c>
      <c r="Q147" s="15" t="str">
        <f t="shared" si="19"/>
        <v/>
      </c>
      <c r="R147" s="15" t="str">
        <f t="shared" si="20"/>
        <v>OK</v>
      </c>
    </row>
    <row r="148" spans="1:18" x14ac:dyDescent="0.3">
      <c r="A148" s="12" t="s">
        <v>418</v>
      </c>
      <c r="B148" s="30">
        <v>45874</v>
      </c>
      <c r="C148" s="12" t="s">
        <v>265</v>
      </c>
      <c r="D148" s="12" t="s">
        <v>266</v>
      </c>
      <c r="E148" s="12" t="s">
        <v>70</v>
      </c>
      <c r="F148" s="12" t="s">
        <v>135</v>
      </c>
      <c r="G148" s="23">
        <v>362</v>
      </c>
      <c r="H148" s="22">
        <v>139.19</v>
      </c>
      <c r="I148" s="15" t="str">
        <f t="shared" si="14"/>
        <v>PC-HC-250</v>
      </c>
      <c r="J148" s="15" t="str">
        <f>IFERROR(INDEX(Items!$C$2:$C$500,MATCH(I148,Items!$H$2:$H$500,0)),"UNKNOWN")</f>
        <v>Slab</v>
      </c>
      <c r="K148" s="24">
        <f>IF(J148="UNKNOWN","",INDEX(Items!$F$2:$F$500,MATCH(I148,Items!$H$2:$H$500,0)))</f>
        <v>136</v>
      </c>
      <c r="L148" s="24">
        <f t="shared" si="15"/>
        <v>50386.78</v>
      </c>
      <c r="M148" s="28">
        <f t="shared" si="16"/>
        <v>362</v>
      </c>
      <c r="N148" s="31">
        <f t="shared" si="17"/>
        <v>-2.345588235294116E-2</v>
      </c>
      <c r="O148" s="24">
        <f>IF(J148="UNKNOWN","",INDEX(Cost_Rollup!$F$5:$F$16,MATCH(I148,Cost_Rollup!$A$5:$A$16,0)))</f>
        <v>92.940240000000003</v>
      </c>
      <c r="P148" s="24">
        <f t="shared" si="18"/>
        <v>33644.366880000001</v>
      </c>
      <c r="Q148" s="15" t="str">
        <f t="shared" si="19"/>
        <v/>
      </c>
      <c r="R148" s="15" t="str">
        <f t="shared" si="20"/>
        <v>OK</v>
      </c>
    </row>
    <row r="149" spans="1:18" x14ac:dyDescent="0.3">
      <c r="A149" s="12" t="s">
        <v>419</v>
      </c>
      <c r="B149" s="30">
        <v>45876</v>
      </c>
      <c r="C149" s="12" t="s">
        <v>257</v>
      </c>
      <c r="D149" s="12" t="s">
        <v>258</v>
      </c>
      <c r="E149" s="12" t="s">
        <v>70</v>
      </c>
      <c r="F149" s="12" t="s">
        <v>129</v>
      </c>
      <c r="G149" s="23">
        <v>6</v>
      </c>
      <c r="H149" s="22">
        <v>2293.37</v>
      </c>
      <c r="I149" s="15" t="str">
        <f t="shared" si="14"/>
        <v>PC-BAR-SS60</v>
      </c>
      <c r="J149" s="15" t="str">
        <f>IFERROR(INDEX(Items!$C$2:$C$500,MATCH(I149,Items!$H$2:$H$500,0)),"UNKNOWN")</f>
        <v>Barrier</v>
      </c>
      <c r="K149" s="24">
        <f>IF(J149="UNKNOWN","",INDEX(Items!$F$2:$F$500,MATCH(I149,Items!$H$2:$H$500,0)))</f>
        <v>2350</v>
      </c>
      <c r="L149" s="24">
        <f t="shared" si="15"/>
        <v>13760.22</v>
      </c>
      <c r="M149" s="28">
        <f t="shared" si="16"/>
        <v>6</v>
      </c>
      <c r="N149" s="31">
        <f t="shared" si="17"/>
        <v>2.4097872340425597E-2</v>
      </c>
      <c r="O149" s="24">
        <f>IF(J149="UNKNOWN","",INDEX(Cost_Rollup!$F$5:$F$16,MATCH(I149,Cost_Rollup!$A$5:$A$16,0)))</f>
        <v>1583.5454</v>
      </c>
      <c r="P149" s="24">
        <f t="shared" si="18"/>
        <v>9501.2723999999998</v>
      </c>
      <c r="Q149" s="15" t="str">
        <f t="shared" si="19"/>
        <v/>
      </c>
      <c r="R149" s="15" t="str">
        <f t="shared" si="20"/>
        <v>OK</v>
      </c>
    </row>
    <row r="150" spans="1:18" x14ac:dyDescent="0.3">
      <c r="A150" s="12" t="s">
        <v>420</v>
      </c>
      <c r="B150" s="30">
        <v>45876</v>
      </c>
      <c r="C150" s="12" t="s">
        <v>268</v>
      </c>
      <c r="D150" s="12" t="s">
        <v>269</v>
      </c>
      <c r="E150" s="12" t="s">
        <v>70</v>
      </c>
      <c r="F150" s="12" t="s">
        <v>118</v>
      </c>
      <c r="G150" s="23">
        <v>3</v>
      </c>
      <c r="H150" s="22">
        <v>1279.92</v>
      </c>
      <c r="I150" s="15" t="str">
        <f t="shared" si="14"/>
        <v>PC-MH-1200B</v>
      </c>
      <c r="J150" s="15" t="str">
        <f>IFERROR(INDEX(Items!$C$2:$C$500,MATCH(I150,Items!$H$2:$H$500,0)),"UNKNOWN")</f>
        <v>Manhole</v>
      </c>
      <c r="K150" s="24">
        <f>IF(J150="UNKNOWN","",INDEX(Items!$F$2:$F$500,MATCH(I150,Items!$H$2:$H$500,0)))</f>
        <v>1240</v>
      </c>
      <c r="L150" s="24">
        <f t="shared" si="15"/>
        <v>3839.76</v>
      </c>
      <c r="M150" s="28">
        <f t="shared" si="16"/>
        <v>3</v>
      </c>
      <c r="N150" s="31">
        <f t="shared" si="17"/>
        <v>-3.219354838709676E-2</v>
      </c>
      <c r="O150" s="24">
        <f>IF(J150="UNKNOWN","",INDEX(Cost_Rollup!$F$5:$F$16,MATCH(I150,Cost_Rollup!$A$5:$A$16,0)))</f>
        <v>753.42079999999999</v>
      </c>
      <c r="P150" s="24">
        <f t="shared" si="18"/>
        <v>2260.2624000000001</v>
      </c>
      <c r="Q150" s="15" t="str">
        <f t="shared" si="19"/>
        <v/>
      </c>
      <c r="R150" s="15" t="str">
        <f t="shared" si="20"/>
        <v>OK</v>
      </c>
    </row>
    <row r="151" spans="1:18" x14ac:dyDescent="0.3">
      <c r="A151" s="12" t="s">
        <v>421</v>
      </c>
      <c r="B151" s="30">
        <v>45877</v>
      </c>
      <c r="C151" s="12" t="s">
        <v>268</v>
      </c>
      <c r="D151" s="12" t="s">
        <v>269</v>
      </c>
      <c r="E151" s="12" t="s">
        <v>70</v>
      </c>
      <c r="F151" s="12" t="s">
        <v>103</v>
      </c>
      <c r="G151" s="23">
        <v>21</v>
      </c>
      <c r="H151" s="22">
        <v>630.62</v>
      </c>
      <c r="I151" s="15" t="str">
        <f t="shared" si="14"/>
        <v>PC-RCP-0600</v>
      </c>
      <c r="J151" s="15" t="str">
        <f>IFERROR(INDEX(Items!$C$2:$C$500,MATCH(I151,Items!$H$2:$H$500,0)),"UNKNOWN")</f>
        <v>Pipe</v>
      </c>
      <c r="K151" s="24">
        <f>IF(J151="UNKNOWN","",INDEX(Items!$F$2:$F$500,MATCH(I151,Items!$H$2:$H$500,0)))</f>
        <v>640</v>
      </c>
      <c r="L151" s="24">
        <f t="shared" si="15"/>
        <v>13243.02</v>
      </c>
      <c r="M151" s="28">
        <f t="shared" si="16"/>
        <v>21</v>
      </c>
      <c r="N151" s="31">
        <f t="shared" si="17"/>
        <v>1.4656250000000037E-2</v>
      </c>
      <c r="O151" s="24">
        <f>IF(J151="UNKNOWN","",INDEX(Cost_Rollup!$F$5:$F$16,MATCH(I151,Cost_Rollup!$A$5:$A$16,0)))</f>
        <v>429.94831999999997</v>
      </c>
      <c r="P151" s="24">
        <f t="shared" si="18"/>
        <v>9028.9147199999989</v>
      </c>
      <c r="Q151" s="15" t="str">
        <f t="shared" si="19"/>
        <v/>
      </c>
      <c r="R151" s="15" t="str">
        <f t="shared" si="20"/>
        <v>OK</v>
      </c>
    </row>
    <row r="152" spans="1:18" x14ac:dyDescent="0.3">
      <c r="A152" s="12" t="s">
        <v>422</v>
      </c>
      <c r="B152" s="30">
        <v>45879</v>
      </c>
      <c r="C152" s="12" t="s">
        <v>292</v>
      </c>
      <c r="D152" s="12" t="s">
        <v>277</v>
      </c>
      <c r="E152" s="12" t="s">
        <v>70</v>
      </c>
      <c r="F152" s="12" t="s">
        <v>108</v>
      </c>
      <c r="G152" s="23">
        <v>4</v>
      </c>
      <c r="H152" s="22">
        <v>1145.4100000000001</v>
      </c>
      <c r="I152" s="15" t="str">
        <f t="shared" si="14"/>
        <v>PC-RCP-0900</v>
      </c>
      <c r="J152" s="15" t="str">
        <f>IFERROR(INDEX(Items!$C$2:$C$500,MATCH(I152,Items!$H$2:$H$500,0)),"UNKNOWN")</f>
        <v>Pipe</v>
      </c>
      <c r="K152" s="24">
        <f>IF(J152="UNKNOWN","",INDEX(Items!$F$2:$F$500,MATCH(I152,Items!$H$2:$H$500,0)))</f>
        <v>1150</v>
      </c>
      <c r="L152" s="24">
        <f t="shared" si="15"/>
        <v>4581.6400000000003</v>
      </c>
      <c r="M152" s="28">
        <f t="shared" si="16"/>
        <v>4</v>
      </c>
      <c r="N152" s="31">
        <f t="shared" si="17"/>
        <v>3.9913043478260191E-3</v>
      </c>
      <c r="O152" s="24">
        <f>IF(J152="UNKNOWN","",INDEX(Cost_Rollup!$F$5:$F$16,MATCH(I152,Cost_Rollup!$A$5:$A$16,0)))</f>
        <v>750.43372656869997</v>
      </c>
      <c r="P152" s="24">
        <f t="shared" si="18"/>
        <v>3001.7349062747999</v>
      </c>
      <c r="Q152" s="15" t="str">
        <f t="shared" si="19"/>
        <v/>
      </c>
      <c r="R152" s="15" t="str">
        <f t="shared" si="20"/>
        <v>OK</v>
      </c>
    </row>
    <row r="153" spans="1:18" x14ac:dyDescent="0.3">
      <c r="A153" s="12" t="s">
        <v>423</v>
      </c>
      <c r="B153" s="30">
        <v>45879</v>
      </c>
      <c r="C153" s="12" t="s">
        <v>260</v>
      </c>
      <c r="D153" s="12" t="s">
        <v>258</v>
      </c>
      <c r="E153" s="12" t="s">
        <v>70</v>
      </c>
      <c r="F153" s="12" t="s">
        <v>122</v>
      </c>
      <c r="G153" s="23">
        <v>9</v>
      </c>
      <c r="H153" s="22">
        <v>626.92999999999995</v>
      </c>
      <c r="I153" s="15" t="str">
        <f t="shared" si="14"/>
        <v>PC-CB-0600</v>
      </c>
      <c r="J153" s="15" t="str">
        <f>IFERROR(INDEX(Items!$C$2:$C$500,MATCH(I153,Items!$H$2:$H$500,0)),"UNKNOWN")</f>
        <v>Catch Basin</v>
      </c>
      <c r="K153" s="24">
        <f>IF(J153="UNKNOWN","",INDEX(Items!$F$2:$F$500,MATCH(I153,Items!$H$2:$H$500,0)))</f>
        <v>690</v>
      </c>
      <c r="L153" s="24">
        <f t="shared" si="15"/>
        <v>5642.37</v>
      </c>
      <c r="M153" s="28">
        <f t="shared" si="16"/>
        <v>9</v>
      </c>
      <c r="N153" s="31">
        <f t="shared" si="17"/>
        <v>9.140579710144936E-2</v>
      </c>
      <c r="O153" s="24">
        <f>IF(J153="UNKNOWN","",INDEX(Cost_Rollup!$F$5:$F$16,MATCH(I153,Cost_Rollup!$A$5:$A$16,0)))</f>
        <v>471.04880000000003</v>
      </c>
      <c r="P153" s="24">
        <f t="shared" si="18"/>
        <v>4239.4392000000007</v>
      </c>
      <c r="Q153" s="15" t="str">
        <f t="shared" si="19"/>
        <v/>
      </c>
      <c r="R153" s="15" t="str">
        <f t="shared" si="20"/>
        <v>OK</v>
      </c>
    </row>
    <row r="154" spans="1:18" x14ac:dyDescent="0.3">
      <c r="A154" s="12" t="s">
        <v>424</v>
      </c>
      <c r="B154" s="30">
        <v>45884</v>
      </c>
      <c r="C154" s="12" t="s">
        <v>276</v>
      </c>
      <c r="D154" s="12" t="s">
        <v>277</v>
      </c>
      <c r="E154" s="12" t="s">
        <v>70</v>
      </c>
      <c r="F154" s="12" t="s">
        <v>125</v>
      </c>
      <c r="G154" s="23">
        <v>26</v>
      </c>
      <c r="H154" s="22">
        <v>1370.51</v>
      </c>
      <c r="I154" s="15" t="str">
        <f t="shared" si="14"/>
        <v>PC-BAR-F38</v>
      </c>
      <c r="J154" s="15" t="str">
        <f>IFERROR(INDEX(Items!$C$2:$C$500,MATCH(I154,Items!$H$2:$H$500,0)),"UNKNOWN")</f>
        <v>Barrier</v>
      </c>
      <c r="K154" s="24">
        <f>IF(J154="UNKNOWN","",INDEX(Items!$F$2:$F$500,MATCH(I154,Items!$H$2:$H$500,0)))</f>
        <v>1450</v>
      </c>
      <c r="L154" s="24">
        <f t="shared" si="15"/>
        <v>35633.26</v>
      </c>
      <c r="M154" s="28">
        <f t="shared" si="16"/>
        <v>26</v>
      </c>
      <c r="N154" s="31">
        <f t="shared" si="17"/>
        <v>5.4820689655172394E-2</v>
      </c>
      <c r="O154" s="24">
        <f>IF(J154="UNKNOWN","",INDEX(Cost_Rollup!$F$5:$F$16,MATCH(I154,Cost_Rollup!$A$5:$A$16,0)))</f>
        <v>978.66327999999999</v>
      </c>
      <c r="P154" s="24">
        <f t="shared" si="18"/>
        <v>25445.245279999999</v>
      </c>
      <c r="Q154" s="15" t="str">
        <f t="shared" si="19"/>
        <v/>
      </c>
      <c r="R154" s="15" t="str">
        <f t="shared" si="20"/>
        <v>OK</v>
      </c>
    </row>
    <row r="155" spans="1:18" x14ac:dyDescent="0.3">
      <c r="A155" s="12" t="s">
        <v>425</v>
      </c>
      <c r="B155" s="30">
        <v>45884</v>
      </c>
      <c r="C155" s="12" t="s">
        <v>285</v>
      </c>
      <c r="D155" s="12" t="s">
        <v>266</v>
      </c>
      <c r="E155" s="12" t="s">
        <v>70</v>
      </c>
      <c r="F155" s="12" t="s">
        <v>103</v>
      </c>
      <c r="G155" s="23">
        <v>15</v>
      </c>
      <c r="H155" s="22">
        <v>629.96</v>
      </c>
      <c r="I155" s="15" t="str">
        <f t="shared" si="14"/>
        <v>PC-RCP-0600</v>
      </c>
      <c r="J155" s="15" t="str">
        <f>IFERROR(INDEX(Items!$C$2:$C$500,MATCH(I155,Items!$H$2:$H$500,0)),"UNKNOWN")</f>
        <v>Pipe</v>
      </c>
      <c r="K155" s="24">
        <f>IF(J155="UNKNOWN","",INDEX(Items!$F$2:$F$500,MATCH(I155,Items!$H$2:$H$500,0)))</f>
        <v>640</v>
      </c>
      <c r="L155" s="24">
        <f t="shared" si="15"/>
        <v>9449.4000000000015</v>
      </c>
      <c r="M155" s="28">
        <f t="shared" si="16"/>
        <v>15</v>
      </c>
      <c r="N155" s="31">
        <f t="shared" si="17"/>
        <v>1.5687499999999965E-2</v>
      </c>
      <c r="O155" s="24">
        <f>IF(J155="UNKNOWN","",INDEX(Cost_Rollup!$F$5:$F$16,MATCH(I155,Cost_Rollup!$A$5:$A$16,0)))</f>
        <v>429.94831999999997</v>
      </c>
      <c r="P155" s="24">
        <f t="shared" si="18"/>
        <v>6449.2248</v>
      </c>
      <c r="Q155" s="15" t="str">
        <f t="shared" si="19"/>
        <v/>
      </c>
      <c r="R155" s="15" t="str">
        <f t="shared" si="20"/>
        <v>OK</v>
      </c>
    </row>
    <row r="156" spans="1:18" x14ac:dyDescent="0.3">
      <c r="A156" s="12" t="s">
        <v>426</v>
      </c>
      <c r="B156" s="30">
        <v>45889</v>
      </c>
      <c r="C156" s="12" t="s">
        <v>285</v>
      </c>
      <c r="D156" s="12" t="s">
        <v>266</v>
      </c>
      <c r="E156" s="12" t="s">
        <v>70</v>
      </c>
      <c r="F156" s="12" t="s">
        <v>131</v>
      </c>
      <c r="G156" s="23">
        <v>105</v>
      </c>
      <c r="H156" s="22">
        <v>113.33</v>
      </c>
      <c r="I156" s="15" t="str">
        <f t="shared" si="14"/>
        <v>PC-HC-200</v>
      </c>
      <c r="J156" s="15" t="str">
        <f>IFERROR(INDEX(Items!$C$2:$C$500,MATCH(I156,Items!$H$2:$H$500,0)),"UNKNOWN")</f>
        <v>Slab</v>
      </c>
      <c r="K156" s="24">
        <f>IF(J156="UNKNOWN","",INDEX(Items!$F$2:$F$500,MATCH(I156,Items!$H$2:$H$500,0)))</f>
        <v>118</v>
      </c>
      <c r="L156" s="24">
        <f t="shared" si="15"/>
        <v>11899.65</v>
      </c>
      <c r="M156" s="28">
        <f t="shared" si="16"/>
        <v>105</v>
      </c>
      <c r="N156" s="31">
        <f t="shared" si="17"/>
        <v>3.9576271186440692E-2</v>
      </c>
      <c r="O156" s="24">
        <f>IF(J156="UNKNOWN","",INDEX(Cost_Rollup!$F$5:$F$16,MATCH(I156,Cost_Rollup!$A$5:$A$16,0)))</f>
        <v>78.893820000000005</v>
      </c>
      <c r="P156" s="24">
        <f t="shared" si="18"/>
        <v>8283.8510999999999</v>
      </c>
      <c r="Q156" s="15" t="str">
        <f t="shared" si="19"/>
        <v/>
      </c>
      <c r="R156" s="15" t="str">
        <f t="shared" si="20"/>
        <v>OK</v>
      </c>
    </row>
    <row r="157" spans="1:18" x14ac:dyDescent="0.3">
      <c r="A157" s="12" t="s">
        <v>427</v>
      </c>
      <c r="B157" s="30">
        <v>45890</v>
      </c>
      <c r="C157" s="12" t="s">
        <v>268</v>
      </c>
      <c r="D157" s="12" t="s">
        <v>269</v>
      </c>
      <c r="E157" s="12" t="s">
        <v>70</v>
      </c>
      <c r="F157" s="12" t="s">
        <v>110</v>
      </c>
      <c r="G157" s="23">
        <v>21</v>
      </c>
      <c r="H157" s="22">
        <v>1866.87</v>
      </c>
      <c r="I157" s="15" t="str">
        <f t="shared" si="14"/>
        <v>PC-RCP-1200</v>
      </c>
      <c r="J157" s="15" t="str">
        <f>IFERROR(INDEX(Items!$C$2:$C$500,MATCH(I157,Items!$H$2:$H$500,0)),"UNKNOWN")</f>
        <v>Pipe</v>
      </c>
      <c r="K157" s="24">
        <f>IF(J157="UNKNOWN","",INDEX(Items!$F$2:$F$500,MATCH(I157,Items!$H$2:$H$500,0)))</f>
        <v>1890</v>
      </c>
      <c r="L157" s="24">
        <f t="shared" si="15"/>
        <v>39204.269999999997</v>
      </c>
      <c r="M157" s="28">
        <f t="shared" si="16"/>
        <v>21</v>
      </c>
      <c r="N157" s="31">
        <f t="shared" si="17"/>
        <v>1.223809523809527E-2</v>
      </c>
      <c r="O157" s="24">
        <f>IF(J157="UNKNOWN","",INDEX(Cost_Rollup!$F$5:$F$16,MATCH(I157,Cost_Rollup!$A$5:$A$16,0)))</f>
        <v>1206.4054000000001</v>
      </c>
      <c r="P157" s="24">
        <f t="shared" si="18"/>
        <v>25334.513400000003</v>
      </c>
      <c r="Q157" s="15" t="str">
        <f t="shared" si="19"/>
        <v/>
      </c>
      <c r="R157" s="15" t="str">
        <f t="shared" si="20"/>
        <v>OK</v>
      </c>
    </row>
    <row r="158" spans="1:18" x14ac:dyDescent="0.3">
      <c r="A158" s="12" t="s">
        <v>428</v>
      </c>
      <c r="B158" s="30">
        <v>45890</v>
      </c>
      <c r="C158" s="12" t="s">
        <v>279</v>
      </c>
      <c r="D158" s="12" t="s">
        <v>280</v>
      </c>
      <c r="E158" s="12" t="s">
        <v>147</v>
      </c>
      <c r="F158" s="12" t="s">
        <v>108</v>
      </c>
      <c r="G158" s="23">
        <v>21</v>
      </c>
      <c r="H158" s="22">
        <v>1163.0999999999999</v>
      </c>
      <c r="I158" s="15" t="str">
        <f t="shared" si="14"/>
        <v>PC-RCP-0900</v>
      </c>
      <c r="J158" s="15" t="str">
        <f>IFERROR(INDEX(Items!$C$2:$C$500,MATCH(I158,Items!$H$2:$H$500,0)),"UNKNOWN")</f>
        <v>Pipe</v>
      </c>
      <c r="K158" s="24">
        <f>IF(J158="UNKNOWN","",INDEX(Items!$F$2:$F$500,MATCH(I158,Items!$H$2:$H$500,0)))</f>
        <v>1150</v>
      </c>
      <c r="L158" s="24">
        <f t="shared" si="15"/>
        <v>24425.1</v>
      </c>
      <c r="M158" s="28">
        <f t="shared" si="16"/>
        <v>21</v>
      </c>
      <c r="N158" s="31">
        <f t="shared" si="17"/>
        <v>-1.1391304347825981E-2</v>
      </c>
      <c r="O158" s="24">
        <f>IF(J158="UNKNOWN","",INDEX(Cost_Rollup!$F$5:$F$16,MATCH(I158,Cost_Rollup!$A$5:$A$16,0)))</f>
        <v>750.43372656869997</v>
      </c>
      <c r="P158" s="24">
        <f t="shared" si="18"/>
        <v>15759.108257942698</v>
      </c>
      <c r="Q158" s="15" t="str">
        <f t="shared" si="19"/>
        <v/>
      </c>
      <c r="R158" s="15" t="str">
        <f t="shared" si="20"/>
        <v>OK</v>
      </c>
    </row>
    <row r="159" spans="1:18" x14ac:dyDescent="0.3">
      <c r="A159" s="12" t="s">
        <v>429</v>
      </c>
      <c r="B159" s="30">
        <v>45892</v>
      </c>
      <c r="C159" s="12" t="s">
        <v>276</v>
      </c>
      <c r="D159" s="12" t="s">
        <v>277</v>
      </c>
      <c r="E159" s="12" t="s">
        <v>70</v>
      </c>
      <c r="F159" s="12" t="s">
        <v>131</v>
      </c>
      <c r="G159" s="23">
        <v>58</v>
      </c>
      <c r="H159" s="22">
        <v>112.08</v>
      </c>
      <c r="I159" s="15" t="str">
        <f t="shared" si="14"/>
        <v>PC-HC-200</v>
      </c>
      <c r="J159" s="15" t="str">
        <f>IFERROR(INDEX(Items!$C$2:$C$500,MATCH(I159,Items!$H$2:$H$500,0)),"UNKNOWN")</f>
        <v>Slab</v>
      </c>
      <c r="K159" s="24">
        <f>IF(J159="UNKNOWN","",INDEX(Items!$F$2:$F$500,MATCH(I159,Items!$H$2:$H$500,0)))</f>
        <v>118</v>
      </c>
      <c r="L159" s="24">
        <f t="shared" si="15"/>
        <v>6500.64</v>
      </c>
      <c r="M159" s="28">
        <f t="shared" si="16"/>
        <v>58</v>
      </c>
      <c r="N159" s="31">
        <f t="shared" si="17"/>
        <v>5.0169491525423715E-2</v>
      </c>
      <c r="O159" s="24">
        <f>IF(J159="UNKNOWN","",INDEX(Cost_Rollup!$F$5:$F$16,MATCH(I159,Cost_Rollup!$A$5:$A$16,0)))</f>
        <v>78.893820000000005</v>
      </c>
      <c r="P159" s="24">
        <f t="shared" si="18"/>
        <v>4575.8415600000008</v>
      </c>
      <c r="Q159" s="15" t="str">
        <f t="shared" si="19"/>
        <v/>
      </c>
      <c r="R159" s="15" t="str">
        <f t="shared" si="20"/>
        <v>OK</v>
      </c>
    </row>
    <row r="160" spans="1:18" x14ac:dyDescent="0.3">
      <c r="A160" s="12" t="s">
        <v>430</v>
      </c>
      <c r="B160" s="30">
        <v>45894</v>
      </c>
      <c r="C160" s="12" t="s">
        <v>285</v>
      </c>
      <c r="D160" s="12" t="s">
        <v>266</v>
      </c>
      <c r="E160" s="12" t="s">
        <v>70</v>
      </c>
      <c r="F160" s="12" t="s">
        <v>108</v>
      </c>
      <c r="G160" s="23">
        <v>16</v>
      </c>
      <c r="H160" s="22">
        <v>1163.6600000000001</v>
      </c>
      <c r="I160" s="15" t="str">
        <f t="shared" si="14"/>
        <v>PC-RCP-0900</v>
      </c>
      <c r="J160" s="15" t="str">
        <f>IFERROR(INDEX(Items!$C$2:$C$500,MATCH(I160,Items!$H$2:$H$500,0)),"UNKNOWN")</f>
        <v>Pipe</v>
      </c>
      <c r="K160" s="24">
        <f>IF(J160="UNKNOWN","",INDEX(Items!$F$2:$F$500,MATCH(I160,Items!$H$2:$H$500,0)))</f>
        <v>1150</v>
      </c>
      <c r="L160" s="24">
        <f t="shared" si="15"/>
        <v>18618.560000000001</v>
      </c>
      <c r="M160" s="28">
        <f t="shared" si="16"/>
        <v>16</v>
      </c>
      <c r="N160" s="31">
        <f t="shared" si="17"/>
        <v>-1.1878260869565338E-2</v>
      </c>
      <c r="O160" s="24">
        <f>IF(J160="UNKNOWN","",INDEX(Cost_Rollup!$F$5:$F$16,MATCH(I160,Cost_Rollup!$A$5:$A$16,0)))</f>
        <v>750.43372656869997</v>
      </c>
      <c r="P160" s="24">
        <f t="shared" si="18"/>
        <v>12006.939625099199</v>
      </c>
      <c r="Q160" s="15" t="str">
        <f t="shared" si="19"/>
        <v/>
      </c>
      <c r="R160" s="15" t="str">
        <f t="shared" si="20"/>
        <v>OK</v>
      </c>
    </row>
    <row r="161" spans="1:18" x14ac:dyDescent="0.3">
      <c r="A161" s="12" t="s">
        <v>431</v>
      </c>
      <c r="B161" s="30">
        <v>45894</v>
      </c>
      <c r="C161" s="12" t="s">
        <v>265</v>
      </c>
      <c r="D161" s="12" t="s">
        <v>266</v>
      </c>
      <c r="E161" s="12" t="s">
        <v>70</v>
      </c>
      <c r="F161" s="12" t="s">
        <v>110</v>
      </c>
      <c r="G161" s="23">
        <v>20</v>
      </c>
      <c r="H161" s="22">
        <v>1780.92</v>
      </c>
      <c r="I161" s="15" t="str">
        <f t="shared" si="14"/>
        <v>PC-RCP-1200</v>
      </c>
      <c r="J161" s="15" t="str">
        <f>IFERROR(INDEX(Items!$C$2:$C$500,MATCH(I161,Items!$H$2:$H$500,0)),"UNKNOWN")</f>
        <v>Pipe</v>
      </c>
      <c r="K161" s="24">
        <f>IF(J161="UNKNOWN","",INDEX(Items!$F$2:$F$500,MATCH(I161,Items!$H$2:$H$500,0)))</f>
        <v>1890</v>
      </c>
      <c r="L161" s="24">
        <f t="shared" si="15"/>
        <v>35618.400000000001</v>
      </c>
      <c r="M161" s="28">
        <f t="shared" si="16"/>
        <v>20</v>
      </c>
      <c r="N161" s="31">
        <f t="shared" si="17"/>
        <v>5.7714285714285718E-2</v>
      </c>
      <c r="O161" s="24">
        <f>IF(J161="UNKNOWN","",INDEX(Cost_Rollup!$F$5:$F$16,MATCH(I161,Cost_Rollup!$A$5:$A$16,0)))</f>
        <v>1206.4054000000001</v>
      </c>
      <c r="P161" s="24">
        <f t="shared" si="18"/>
        <v>24128.108</v>
      </c>
      <c r="Q161" s="15" t="str">
        <f t="shared" si="19"/>
        <v/>
      </c>
      <c r="R161" s="15" t="str">
        <f t="shared" si="20"/>
        <v>OK</v>
      </c>
    </row>
    <row r="162" spans="1:18" x14ac:dyDescent="0.3">
      <c r="A162" s="12" t="s">
        <v>432</v>
      </c>
      <c r="B162" s="30">
        <v>45896</v>
      </c>
      <c r="C162" s="12" t="s">
        <v>279</v>
      </c>
      <c r="D162" s="12" t="s">
        <v>280</v>
      </c>
      <c r="E162" s="12" t="s">
        <v>147</v>
      </c>
      <c r="F162" s="12" t="s">
        <v>135</v>
      </c>
      <c r="G162" s="23">
        <v>319</v>
      </c>
      <c r="H162" s="22"/>
      <c r="I162" s="15" t="str">
        <f t="shared" si="14"/>
        <v>PC-HC-250</v>
      </c>
      <c r="J162" s="15" t="str">
        <f>IFERROR(INDEX(Items!$C$2:$C$500,MATCH(I162,Items!$H$2:$H$500,0)),"UNKNOWN")</f>
        <v>Slab</v>
      </c>
      <c r="K162" s="24">
        <f>IF(J162="UNKNOWN","",INDEX(Items!$F$2:$F$500,MATCH(I162,Items!$H$2:$H$500,0)))</f>
        <v>136</v>
      </c>
      <c r="L162" s="24" t="str">
        <f t="shared" si="15"/>
        <v/>
      </c>
      <c r="M162" s="28">
        <f t="shared" si="16"/>
        <v>0</v>
      </c>
      <c r="N162" s="31" t="str">
        <f t="shared" si="17"/>
        <v/>
      </c>
      <c r="O162" s="24">
        <f>IF(J162="UNKNOWN","",INDEX(Cost_Rollup!$F$5:$F$16,MATCH(I162,Cost_Rollup!$A$5:$A$16,0)))</f>
        <v>92.940240000000003</v>
      </c>
      <c r="P162" s="24" t="str">
        <f t="shared" si="18"/>
        <v/>
      </c>
      <c r="Q162" s="15" t="str">
        <f t="shared" si="19"/>
        <v xml:space="preserve">Missing price; </v>
      </c>
      <c r="R162" s="15" t="str">
        <f t="shared" si="20"/>
        <v>CHECK</v>
      </c>
    </row>
    <row r="163" spans="1:18" x14ac:dyDescent="0.3">
      <c r="A163" s="12" t="s">
        <v>433</v>
      </c>
      <c r="B163" s="30">
        <v>45897</v>
      </c>
      <c r="C163" s="12" t="s">
        <v>276</v>
      </c>
      <c r="D163" s="12" t="s">
        <v>277</v>
      </c>
      <c r="E163" s="12" t="s">
        <v>70</v>
      </c>
      <c r="F163" s="12" t="s">
        <v>122</v>
      </c>
      <c r="G163" s="23">
        <v>7</v>
      </c>
      <c r="H163" s="22">
        <v>710.02</v>
      </c>
      <c r="I163" s="15" t="str">
        <f t="shared" si="14"/>
        <v>PC-CB-0600</v>
      </c>
      <c r="J163" s="15" t="str">
        <f>IFERROR(INDEX(Items!$C$2:$C$500,MATCH(I163,Items!$H$2:$H$500,0)),"UNKNOWN")</f>
        <v>Catch Basin</v>
      </c>
      <c r="K163" s="24">
        <f>IF(J163="UNKNOWN","",INDEX(Items!$F$2:$F$500,MATCH(I163,Items!$H$2:$H$500,0)))</f>
        <v>690</v>
      </c>
      <c r="L163" s="24">
        <f t="shared" si="15"/>
        <v>4970.1399999999994</v>
      </c>
      <c r="M163" s="28">
        <f t="shared" si="16"/>
        <v>7</v>
      </c>
      <c r="N163" s="31">
        <f t="shared" si="17"/>
        <v>-2.9014492753623111E-2</v>
      </c>
      <c r="O163" s="24">
        <f>IF(J163="UNKNOWN","",INDEX(Cost_Rollup!$F$5:$F$16,MATCH(I163,Cost_Rollup!$A$5:$A$16,0)))</f>
        <v>471.04880000000003</v>
      </c>
      <c r="P163" s="24">
        <f t="shared" si="18"/>
        <v>3297.3416000000002</v>
      </c>
      <c r="Q163" s="15" t="str">
        <f t="shared" si="19"/>
        <v/>
      </c>
      <c r="R163" s="15" t="str">
        <f t="shared" si="20"/>
        <v>OK</v>
      </c>
    </row>
    <row r="164" spans="1:18" x14ac:dyDescent="0.3">
      <c r="A164" s="12" t="s">
        <v>434</v>
      </c>
      <c r="B164" s="30">
        <v>45897</v>
      </c>
      <c r="C164" s="12" t="s">
        <v>276</v>
      </c>
      <c r="D164" s="12" t="s">
        <v>277</v>
      </c>
      <c r="E164" s="12" t="s">
        <v>70</v>
      </c>
      <c r="F164" s="12" t="s">
        <v>122</v>
      </c>
      <c r="G164" s="23">
        <v>12</v>
      </c>
      <c r="H164" s="22">
        <v>677.08</v>
      </c>
      <c r="I164" s="15" t="str">
        <f t="shared" si="14"/>
        <v>PC-CB-0600</v>
      </c>
      <c r="J164" s="15" t="str">
        <f>IFERROR(INDEX(Items!$C$2:$C$500,MATCH(I164,Items!$H$2:$H$500,0)),"UNKNOWN")</f>
        <v>Catch Basin</v>
      </c>
      <c r="K164" s="24">
        <f>IF(J164="UNKNOWN","",INDEX(Items!$F$2:$F$500,MATCH(I164,Items!$H$2:$H$500,0)))</f>
        <v>690</v>
      </c>
      <c r="L164" s="24">
        <f t="shared" si="15"/>
        <v>8124.9600000000009</v>
      </c>
      <c r="M164" s="28">
        <f t="shared" si="16"/>
        <v>12</v>
      </c>
      <c r="N164" s="31">
        <f t="shared" si="17"/>
        <v>1.8724637681159395E-2</v>
      </c>
      <c r="O164" s="24">
        <f>IF(J164="UNKNOWN","",INDEX(Cost_Rollup!$F$5:$F$16,MATCH(I164,Cost_Rollup!$A$5:$A$16,0)))</f>
        <v>471.04880000000003</v>
      </c>
      <c r="P164" s="24">
        <f t="shared" si="18"/>
        <v>5652.5856000000003</v>
      </c>
      <c r="Q164" s="15" t="str">
        <f t="shared" si="19"/>
        <v/>
      </c>
      <c r="R164" s="15" t="str">
        <f t="shared" si="20"/>
        <v>OK</v>
      </c>
    </row>
    <row r="165" spans="1:18" x14ac:dyDescent="0.3">
      <c r="A165" s="12" t="s">
        <v>435</v>
      </c>
      <c r="B165" s="30">
        <v>45900</v>
      </c>
      <c r="C165" s="12" t="s">
        <v>279</v>
      </c>
      <c r="D165" s="12" t="s">
        <v>280</v>
      </c>
      <c r="E165" s="12" t="s">
        <v>147</v>
      </c>
      <c r="F165" s="12" t="s">
        <v>120</v>
      </c>
      <c r="G165" s="23">
        <v>5</v>
      </c>
      <c r="H165" s="22">
        <v>502.05</v>
      </c>
      <c r="I165" s="15" t="str">
        <f t="shared" si="14"/>
        <v>PC-MH-1200R</v>
      </c>
      <c r="J165" s="15" t="str">
        <f>IFERROR(INDEX(Items!$C$2:$C$500,MATCH(I165,Items!$H$2:$H$500,0)),"UNKNOWN")</f>
        <v>Manhole</v>
      </c>
      <c r="K165" s="24">
        <f>IF(J165="UNKNOWN","",INDEX(Items!$F$2:$F$500,MATCH(I165,Items!$H$2:$H$500,0)))</f>
        <v>520</v>
      </c>
      <c r="L165" s="24">
        <f t="shared" si="15"/>
        <v>2510.25</v>
      </c>
      <c r="M165" s="28">
        <f t="shared" si="16"/>
        <v>5</v>
      </c>
      <c r="N165" s="31">
        <f t="shared" si="17"/>
        <v>3.4519230769230802E-2</v>
      </c>
      <c r="O165" s="24">
        <f>IF(J165="UNKNOWN","",INDEX(Cost_Rollup!$F$5:$F$16,MATCH(I165,Cost_Rollup!$A$5:$A$16,0)))</f>
        <v>381.98428000000001</v>
      </c>
      <c r="P165" s="24">
        <f t="shared" si="18"/>
        <v>1909.9214000000002</v>
      </c>
      <c r="Q165" s="15" t="str">
        <f t="shared" si="19"/>
        <v/>
      </c>
      <c r="R165" s="15" t="str">
        <f t="shared" si="20"/>
        <v>OK</v>
      </c>
    </row>
    <row r="166" spans="1:18" x14ac:dyDescent="0.3">
      <c r="A166" s="12" t="s">
        <v>436</v>
      </c>
      <c r="B166" s="30">
        <v>45900</v>
      </c>
      <c r="C166" s="12" t="s">
        <v>265</v>
      </c>
      <c r="D166" s="12" t="s">
        <v>266</v>
      </c>
      <c r="E166" s="12" t="s">
        <v>70</v>
      </c>
      <c r="F166" s="12" t="s">
        <v>135</v>
      </c>
      <c r="G166" s="23">
        <v>218</v>
      </c>
      <c r="H166" s="22">
        <v>136.85</v>
      </c>
      <c r="I166" s="15" t="str">
        <f t="shared" si="14"/>
        <v>PC-HC-250</v>
      </c>
      <c r="J166" s="15" t="str">
        <f>IFERROR(INDEX(Items!$C$2:$C$500,MATCH(I166,Items!$H$2:$H$500,0)),"UNKNOWN")</f>
        <v>Slab</v>
      </c>
      <c r="K166" s="24">
        <f>IF(J166="UNKNOWN","",INDEX(Items!$F$2:$F$500,MATCH(I166,Items!$H$2:$H$500,0)))</f>
        <v>136</v>
      </c>
      <c r="L166" s="24">
        <f t="shared" si="15"/>
        <v>29833.3</v>
      </c>
      <c r="M166" s="28">
        <f t="shared" si="16"/>
        <v>218</v>
      </c>
      <c r="N166" s="31">
        <f t="shared" si="17"/>
        <v>-6.2499999999998668E-3</v>
      </c>
      <c r="O166" s="24">
        <f>IF(J166="UNKNOWN","",INDEX(Cost_Rollup!$F$5:$F$16,MATCH(I166,Cost_Rollup!$A$5:$A$16,0)))</f>
        <v>92.940240000000003</v>
      </c>
      <c r="P166" s="24">
        <f t="shared" si="18"/>
        <v>20260.972320000001</v>
      </c>
      <c r="Q166" s="15" t="str">
        <f t="shared" si="19"/>
        <v/>
      </c>
      <c r="R166" s="15" t="str">
        <f t="shared" si="20"/>
        <v>OK</v>
      </c>
    </row>
    <row r="167" spans="1:18" x14ac:dyDescent="0.3">
      <c r="A167" s="12" t="s">
        <v>437</v>
      </c>
      <c r="B167" s="30">
        <v>45900</v>
      </c>
      <c r="C167" s="12" t="s">
        <v>265</v>
      </c>
      <c r="D167" s="12" t="s">
        <v>266</v>
      </c>
      <c r="E167" s="12" t="s">
        <v>70</v>
      </c>
      <c r="F167" s="12" t="s">
        <v>129</v>
      </c>
      <c r="G167" s="23">
        <v>15</v>
      </c>
      <c r="H167" s="22">
        <v>2347.11</v>
      </c>
      <c r="I167" s="15" t="str">
        <f t="shared" si="14"/>
        <v>PC-BAR-SS60</v>
      </c>
      <c r="J167" s="15" t="str">
        <f>IFERROR(INDEX(Items!$C$2:$C$500,MATCH(I167,Items!$H$2:$H$500,0)),"UNKNOWN")</f>
        <v>Barrier</v>
      </c>
      <c r="K167" s="24">
        <f>IF(J167="UNKNOWN","",INDEX(Items!$F$2:$F$500,MATCH(I167,Items!$H$2:$H$500,0)))</f>
        <v>2350</v>
      </c>
      <c r="L167" s="24">
        <f t="shared" si="15"/>
        <v>35206.65</v>
      </c>
      <c r="M167" s="28">
        <f t="shared" si="16"/>
        <v>15</v>
      </c>
      <c r="N167" s="31">
        <f t="shared" si="17"/>
        <v>1.2297872340425453E-3</v>
      </c>
      <c r="O167" s="24">
        <f>IF(J167="UNKNOWN","",INDEX(Cost_Rollup!$F$5:$F$16,MATCH(I167,Cost_Rollup!$A$5:$A$16,0)))</f>
        <v>1583.5454</v>
      </c>
      <c r="P167" s="24">
        <f t="shared" si="18"/>
        <v>23753.181</v>
      </c>
      <c r="Q167" s="15" t="str">
        <f t="shared" si="19"/>
        <v/>
      </c>
      <c r="R167" s="15" t="str">
        <f t="shared" si="20"/>
        <v>OK</v>
      </c>
    </row>
    <row r="168" spans="1:18" x14ac:dyDescent="0.3">
      <c r="A168" s="12" t="s">
        <v>438</v>
      </c>
      <c r="B168" s="30">
        <v>45901</v>
      </c>
      <c r="C168" s="12" t="s">
        <v>265</v>
      </c>
      <c r="D168" s="12" t="s">
        <v>266</v>
      </c>
      <c r="E168" s="12" t="s">
        <v>70</v>
      </c>
      <c r="F168" s="12" t="s">
        <v>118</v>
      </c>
      <c r="G168" s="23">
        <v>5</v>
      </c>
      <c r="H168" s="22">
        <v>1204.93</v>
      </c>
      <c r="I168" s="15" t="str">
        <f t="shared" si="14"/>
        <v>PC-MH-1200B</v>
      </c>
      <c r="J168" s="15" t="str">
        <f>IFERROR(INDEX(Items!$C$2:$C$500,MATCH(I168,Items!$H$2:$H$500,0)),"UNKNOWN")</f>
        <v>Manhole</v>
      </c>
      <c r="K168" s="24">
        <f>IF(J168="UNKNOWN","",INDEX(Items!$F$2:$F$500,MATCH(I168,Items!$H$2:$H$500,0)))</f>
        <v>1240</v>
      </c>
      <c r="L168" s="24">
        <f t="shared" si="15"/>
        <v>6024.6500000000005</v>
      </c>
      <c r="M168" s="28">
        <f t="shared" si="16"/>
        <v>5</v>
      </c>
      <c r="N168" s="31">
        <f t="shared" si="17"/>
        <v>2.8282258064516119E-2</v>
      </c>
      <c r="O168" s="24">
        <f>IF(J168="UNKNOWN","",INDEX(Cost_Rollup!$F$5:$F$16,MATCH(I168,Cost_Rollup!$A$5:$A$16,0)))</f>
        <v>753.42079999999999</v>
      </c>
      <c r="P168" s="24">
        <f t="shared" si="18"/>
        <v>3767.1039999999998</v>
      </c>
      <c r="Q168" s="15" t="str">
        <f t="shared" si="19"/>
        <v/>
      </c>
      <c r="R168" s="15" t="str">
        <f t="shared" si="20"/>
        <v>OK</v>
      </c>
    </row>
    <row r="169" spans="1:18" x14ac:dyDescent="0.3">
      <c r="A169" s="12" t="s">
        <v>439</v>
      </c>
      <c r="B169" s="30">
        <v>45902</v>
      </c>
      <c r="C169" s="12" t="s">
        <v>265</v>
      </c>
      <c r="D169" s="12" t="s">
        <v>266</v>
      </c>
      <c r="E169" s="12" t="s">
        <v>70</v>
      </c>
      <c r="F169" s="12" t="s">
        <v>120</v>
      </c>
      <c r="G169" s="23">
        <v>4</v>
      </c>
      <c r="H169" s="22">
        <v>505.43</v>
      </c>
      <c r="I169" s="15" t="str">
        <f t="shared" si="14"/>
        <v>PC-MH-1200R</v>
      </c>
      <c r="J169" s="15" t="str">
        <f>IFERROR(INDEX(Items!$C$2:$C$500,MATCH(I169,Items!$H$2:$H$500,0)),"UNKNOWN")</f>
        <v>Manhole</v>
      </c>
      <c r="K169" s="24">
        <f>IF(J169="UNKNOWN","",INDEX(Items!$F$2:$F$500,MATCH(I169,Items!$H$2:$H$500,0)))</f>
        <v>520</v>
      </c>
      <c r="L169" s="24">
        <f t="shared" si="15"/>
        <v>2021.72</v>
      </c>
      <c r="M169" s="28">
        <f t="shared" si="16"/>
        <v>4</v>
      </c>
      <c r="N169" s="31">
        <f t="shared" si="17"/>
        <v>2.8019230769230741E-2</v>
      </c>
      <c r="O169" s="24">
        <f>IF(J169="UNKNOWN","",INDEX(Cost_Rollup!$F$5:$F$16,MATCH(I169,Cost_Rollup!$A$5:$A$16,0)))</f>
        <v>381.98428000000001</v>
      </c>
      <c r="P169" s="24">
        <f t="shared" si="18"/>
        <v>1527.93712</v>
      </c>
      <c r="Q169" s="15" t="str">
        <f t="shared" si="19"/>
        <v/>
      </c>
      <c r="R169" s="15" t="str">
        <f t="shared" si="20"/>
        <v>OK</v>
      </c>
    </row>
    <row r="170" spans="1:18" x14ac:dyDescent="0.3">
      <c r="A170" s="12" t="s">
        <v>440</v>
      </c>
      <c r="B170" s="30">
        <v>45902</v>
      </c>
      <c r="C170" s="12" t="s">
        <v>276</v>
      </c>
      <c r="D170" s="12" t="s">
        <v>277</v>
      </c>
      <c r="E170" s="12" t="s">
        <v>70</v>
      </c>
      <c r="F170" s="12" t="s">
        <v>131</v>
      </c>
      <c r="G170" s="23">
        <v>57</v>
      </c>
      <c r="H170" s="22">
        <v>122.01</v>
      </c>
      <c r="I170" s="15" t="str">
        <f t="shared" si="14"/>
        <v>PC-HC-200</v>
      </c>
      <c r="J170" s="15" t="str">
        <f>IFERROR(INDEX(Items!$C$2:$C$500,MATCH(I170,Items!$H$2:$H$500,0)),"UNKNOWN")</f>
        <v>Slab</v>
      </c>
      <c r="K170" s="24">
        <f>IF(J170="UNKNOWN","",INDEX(Items!$F$2:$F$500,MATCH(I170,Items!$H$2:$H$500,0)))</f>
        <v>118</v>
      </c>
      <c r="L170" s="24">
        <f t="shared" si="15"/>
        <v>6954.5700000000006</v>
      </c>
      <c r="M170" s="28">
        <f t="shared" si="16"/>
        <v>57</v>
      </c>
      <c r="N170" s="31">
        <f t="shared" si="17"/>
        <v>-3.3983050847457674E-2</v>
      </c>
      <c r="O170" s="24">
        <f>IF(J170="UNKNOWN","",INDEX(Cost_Rollup!$F$5:$F$16,MATCH(I170,Cost_Rollup!$A$5:$A$16,0)))</f>
        <v>78.893820000000005</v>
      </c>
      <c r="P170" s="24">
        <f t="shared" si="18"/>
        <v>4496.9477400000005</v>
      </c>
      <c r="Q170" s="15" t="str">
        <f t="shared" si="19"/>
        <v/>
      </c>
      <c r="R170" s="15" t="str">
        <f t="shared" si="20"/>
        <v>OK</v>
      </c>
    </row>
    <row r="171" spans="1:18" x14ac:dyDescent="0.3">
      <c r="A171" s="12" t="s">
        <v>441</v>
      </c>
      <c r="B171" s="30">
        <v>45904</v>
      </c>
      <c r="C171" s="12" t="s">
        <v>292</v>
      </c>
      <c r="D171" s="12" t="s">
        <v>277</v>
      </c>
      <c r="E171" s="12" t="s">
        <v>70</v>
      </c>
      <c r="F171" s="12" t="s">
        <v>129</v>
      </c>
      <c r="G171" s="23">
        <v>37</v>
      </c>
      <c r="H171" s="22">
        <v>2421.87</v>
      </c>
      <c r="I171" s="15" t="str">
        <f t="shared" si="14"/>
        <v>PC-BAR-SS60</v>
      </c>
      <c r="J171" s="15" t="str">
        <f>IFERROR(INDEX(Items!$C$2:$C$500,MATCH(I171,Items!$H$2:$H$500,0)),"UNKNOWN")</f>
        <v>Barrier</v>
      </c>
      <c r="K171" s="24">
        <f>IF(J171="UNKNOWN","",INDEX(Items!$F$2:$F$500,MATCH(I171,Items!$H$2:$H$500,0)))</f>
        <v>2350</v>
      </c>
      <c r="L171" s="24">
        <f t="shared" si="15"/>
        <v>89609.19</v>
      </c>
      <c r="M171" s="28">
        <f t="shared" si="16"/>
        <v>37</v>
      </c>
      <c r="N171" s="31">
        <f t="shared" si="17"/>
        <v>-3.0582978723404208E-2</v>
      </c>
      <c r="O171" s="24">
        <f>IF(J171="UNKNOWN","",INDEX(Cost_Rollup!$F$5:$F$16,MATCH(I171,Cost_Rollup!$A$5:$A$16,0)))</f>
        <v>1583.5454</v>
      </c>
      <c r="P171" s="24">
        <f t="shared" si="18"/>
        <v>58591.179799999998</v>
      </c>
      <c r="Q171" s="15" t="str">
        <f t="shared" si="19"/>
        <v/>
      </c>
      <c r="R171" s="15" t="str">
        <f t="shared" si="20"/>
        <v>OK</v>
      </c>
    </row>
    <row r="172" spans="1:18" x14ac:dyDescent="0.3">
      <c r="A172" s="12" t="s">
        <v>442</v>
      </c>
      <c r="B172" s="30">
        <v>45905</v>
      </c>
      <c r="C172" s="12" t="s">
        <v>292</v>
      </c>
      <c r="D172" s="12" t="s">
        <v>277</v>
      </c>
      <c r="E172" s="12" t="s">
        <v>70</v>
      </c>
      <c r="F172" s="12" t="s">
        <v>131</v>
      </c>
      <c r="G172" s="23">
        <v>205</v>
      </c>
      <c r="H172" s="22">
        <v>109.1</v>
      </c>
      <c r="I172" s="15" t="str">
        <f t="shared" si="14"/>
        <v>PC-HC-200</v>
      </c>
      <c r="J172" s="15" t="str">
        <f>IFERROR(INDEX(Items!$C$2:$C$500,MATCH(I172,Items!$H$2:$H$500,0)),"UNKNOWN")</f>
        <v>Slab</v>
      </c>
      <c r="K172" s="24">
        <f>IF(J172="UNKNOWN","",INDEX(Items!$F$2:$F$500,MATCH(I172,Items!$H$2:$H$500,0)))</f>
        <v>118</v>
      </c>
      <c r="L172" s="24">
        <f t="shared" si="15"/>
        <v>22365.5</v>
      </c>
      <c r="M172" s="28">
        <f t="shared" si="16"/>
        <v>205</v>
      </c>
      <c r="N172" s="31">
        <f t="shared" si="17"/>
        <v>7.542372881355941E-2</v>
      </c>
      <c r="O172" s="24">
        <f>IF(J172="UNKNOWN","",INDEX(Cost_Rollup!$F$5:$F$16,MATCH(I172,Cost_Rollup!$A$5:$A$16,0)))</f>
        <v>78.893820000000005</v>
      </c>
      <c r="P172" s="24">
        <f t="shared" si="18"/>
        <v>16173.233100000001</v>
      </c>
      <c r="Q172" s="15" t="str">
        <f t="shared" si="19"/>
        <v/>
      </c>
      <c r="R172" s="15" t="str">
        <f t="shared" si="20"/>
        <v>OK</v>
      </c>
    </row>
    <row r="173" spans="1:18" x14ac:dyDescent="0.3">
      <c r="A173" s="12" t="s">
        <v>443</v>
      </c>
      <c r="B173" s="30">
        <v>45906</v>
      </c>
      <c r="C173" s="12" t="s">
        <v>257</v>
      </c>
      <c r="D173" s="12" t="s">
        <v>258</v>
      </c>
      <c r="E173" s="12" t="s">
        <v>70</v>
      </c>
      <c r="F173" s="12" t="s">
        <v>135</v>
      </c>
      <c r="G173" s="23">
        <v>90</v>
      </c>
      <c r="H173" s="22">
        <v>141.4</v>
      </c>
      <c r="I173" s="15" t="str">
        <f t="shared" si="14"/>
        <v>PC-HC-250</v>
      </c>
      <c r="J173" s="15" t="str">
        <f>IFERROR(INDEX(Items!$C$2:$C$500,MATCH(I173,Items!$H$2:$H$500,0)),"UNKNOWN")</f>
        <v>Slab</v>
      </c>
      <c r="K173" s="24">
        <f>IF(J173="UNKNOWN","",INDEX(Items!$F$2:$F$500,MATCH(I173,Items!$H$2:$H$500,0)))</f>
        <v>136</v>
      </c>
      <c r="L173" s="24">
        <f t="shared" si="15"/>
        <v>12726</v>
      </c>
      <c r="M173" s="28">
        <f t="shared" si="16"/>
        <v>90</v>
      </c>
      <c r="N173" s="31">
        <f t="shared" si="17"/>
        <v>-3.9705882352941257E-2</v>
      </c>
      <c r="O173" s="24">
        <f>IF(J173="UNKNOWN","",INDEX(Cost_Rollup!$F$5:$F$16,MATCH(I173,Cost_Rollup!$A$5:$A$16,0)))</f>
        <v>92.940240000000003</v>
      </c>
      <c r="P173" s="24">
        <f t="shared" si="18"/>
        <v>8364.6216000000004</v>
      </c>
      <c r="Q173" s="15" t="str">
        <f t="shared" si="19"/>
        <v/>
      </c>
      <c r="R173" s="15" t="str">
        <f t="shared" si="20"/>
        <v>OK</v>
      </c>
    </row>
    <row r="174" spans="1:18" x14ac:dyDescent="0.3">
      <c r="A174" s="12" t="s">
        <v>444</v>
      </c>
      <c r="B174" s="30">
        <v>45907</v>
      </c>
      <c r="C174" s="12" t="s">
        <v>276</v>
      </c>
      <c r="D174" s="12" t="s">
        <v>277</v>
      </c>
      <c r="E174" s="12" t="s">
        <v>70</v>
      </c>
      <c r="F174" s="12" t="s">
        <v>122</v>
      </c>
      <c r="G174" s="23">
        <v>6</v>
      </c>
      <c r="H174" s="22">
        <v>702.19</v>
      </c>
      <c r="I174" s="15" t="str">
        <f t="shared" si="14"/>
        <v>PC-CB-0600</v>
      </c>
      <c r="J174" s="15" t="str">
        <f>IFERROR(INDEX(Items!$C$2:$C$500,MATCH(I174,Items!$H$2:$H$500,0)),"UNKNOWN")</f>
        <v>Catch Basin</v>
      </c>
      <c r="K174" s="24">
        <f>IF(J174="UNKNOWN","",INDEX(Items!$F$2:$F$500,MATCH(I174,Items!$H$2:$H$500,0)))</f>
        <v>690</v>
      </c>
      <c r="L174" s="24">
        <f t="shared" si="15"/>
        <v>4213.1400000000003</v>
      </c>
      <c r="M174" s="28">
        <f t="shared" si="16"/>
        <v>6</v>
      </c>
      <c r="N174" s="31">
        <f t="shared" si="17"/>
        <v>-1.7666666666666719E-2</v>
      </c>
      <c r="O174" s="24">
        <f>IF(J174="UNKNOWN","",INDEX(Cost_Rollup!$F$5:$F$16,MATCH(I174,Cost_Rollup!$A$5:$A$16,0)))</f>
        <v>471.04880000000003</v>
      </c>
      <c r="P174" s="24">
        <f t="shared" si="18"/>
        <v>2826.2928000000002</v>
      </c>
      <c r="Q174" s="15" t="str">
        <f t="shared" si="19"/>
        <v/>
      </c>
      <c r="R174" s="15" t="str">
        <f t="shared" si="20"/>
        <v>OK</v>
      </c>
    </row>
    <row r="175" spans="1:18" x14ac:dyDescent="0.3">
      <c r="A175" s="12" t="s">
        <v>445</v>
      </c>
      <c r="B175" s="30">
        <v>45907</v>
      </c>
      <c r="C175" s="12" t="s">
        <v>260</v>
      </c>
      <c r="D175" s="12" t="s">
        <v>258</v>
      </c>
      <c r="E175" s="12" t="s">
        <v>70</v>
      </c>
      <c r="F175" s="12" t="s">
        <v>108</v>
      </c>
      <c r="G175" s="23">
        <v>8</v>
      </c>
      <c r="H175" s="22">
        <v>1035.6400000000001</v>
      </c>
      <c r="I175" s="15" t="str">
        <f t="shared" si="14"/>
        <v>PC-RCP-0900</v>
      </c>
      <c r="J175" s="15" t="str">
        <f>IFERROR(INDEX(Items!$C$2:$C$500,MATCH(I175,Items!$H$2:$H$500,0)),"UNKNOWN")</f>
        <v>Pipe</v>
      </c>
      <c r="K175" s="24">
        <f>IF(J175="UNKNOWN","",INDEX(Items!$F$2:$F$500,MATCH(I175,Items!$H$2:$H$500,0)))</f>
        <v>1150</v>
      </c>
      <c r="L175" s="24">
        <f t="shared" si="15"/>
        <v>8285.1200000000008</v>
      </c>
      <c r="M175" s="28">
        <f t="shared" si="16"/>
        <v>8</v>
      </c>
      <c r="N175" s="31">
        <f t="shared" si="17"/>
        <v>9.9443478260869522E-2</v>
      </c>
      <c r="O175" s="24">
        <f>IF(J175="UNKNOWN","",INDEX(Cost_Rollup!$F$5:$F$16,MATCH(I175,Cost_Rollup!$A$5:$A$16,0)))</f>
        <v>750.43372656869997</v>
      </c>
      <c r="P175" s="24">
        <f t="shared" si="18"/>
        <v>6003.4698125495997</v>
      </c>
      <c r="Q175" s="15" t="str">
        <f t="shared" si="19"/>
        <v/>
      </c>
      <c r="R175" s="15" t="str">
        <f t="shared" si="20"/>
        <v>OK</v>
      </c>
    </row>
    <row r="176" spans="1:18" x14ac:dyDescent="0.3">
      <c r="A176" s="12" t="s">
        <v>446</v>
      </c>
      <c r="B176" s="30">
        <v>45908</v>
      </c>
      <c r="C176" s="12" t="s">
        <v>260</v>
      </c>
      <c r="D176" s="12" t="s">
        <v>258</v>
      </c>
      <c r="E176" s="12" t="s">
        <v>70</v>
      </c>
      <c r="F176" s="12" t="s">
        <v>131</v>
      </c>
      <c r="G176" s="23">
        <v>176</v>
      </c>
      <c r="H176" s="22">
        <v>121.12</v>
      </c>
      <c r="I176" s="15" t="str">
        <f t="shared" si="14"/>
        <v>PC-HC-200</v>
      </c>
      <c r="J176" s="15" t="str">
        <f>IFERROR(INDEX(Items!$C$2:$C$500,MATCH(I176,Items!$H$2:$H$500,0)),"UNKNOWN")</f>
        <v>Slab</v>
      </c>
      <c r="K176" s="24">
        <f>IF(J176="UNKNOWN","",INDEX(Items!$F$2:$F$500,MATCH(I176,Items!$H$2:$H$500,0)))</f>
        <v>118</v>
      </c>
      <c r="L176" s="24">
        <f t="shared" si="15"/>
        <v>21317.120000000003</v>
      </c>
      <c r="M176" s="28">
        <f t="shared" si="16"/>
        <v>176</v>
      </c>
      <c r="N176" s="31">
        <f t="shared" si="17"/>
        <v>-2.6440677966101722E-2</v>
      </c>
      <c r="O176" s="24">
        <f>IF(J176="UNKNOWN","",INDEX(Cost_Rollup!$F$5:$F$16,MATCH(I176,Cost_Rollup!$A$5:$A$16,0)))</f>
        <v>78.893820000000005</v>
      </c>
      <c r="P176" s="24">
        <f t="shared" si="18"/>
        <v>13885.312320000001</v>
      </c>
      <c r="Q176" s="15" t="str">
        <f t="shared" si="19"/>
        <v/>
      </c>
      <c r="R176" s="15" t="str">
        <f t="shared" si="20"/>
        <v>OK</v>
      </c>
    </row>
    <row r="177" spans="1:18" x14ac:dyDescent="0.3">
      <c r="A177" s="12" t="s">
        <v>447</v>
      </c>
      <c r="B177" s="30">
        <v>45910</v>
      </c>
      <c r="C177" s="12" t="s">
        <v>257</v>
      </c>
      <c r="D177" s="12" t="s">
        <v>258</v>
      </c>
      <c r="E177" s="12" t="s">
        <v>70</v>
      </c>
      <c r="F177" s="12" t="s">
        <v>103</v>
      </c>
      <c r="G177" s="23">
        <v>5</v>
      </c>
      <c r="H177" s="22">
        <v>643.85</v>
      </c>
      <c r="I177" s="15" t="str">
        <f t="shared" si="14"/>
        <v>PC-RCP-0600</v>
      </c>
      <c r="J177" s="15" t="str">
        <f>IFERROR(INDEX(Items!$C$2:$C$500,MATCH(I177,Items!$H$2:$H$500,0)),"UNKNOWN")</f>
        <v>Pipe</v>
      </c>
      <c r="K177" s="24">
        <f>IF(J177="UNKNOWN","",INDEX(Items!$F$2:$F$500,MATCH(I177,Items!$H$2:$H$500,0)))</f>
        <v>640</v>
      </c>
      <c r="L177" s="24">
        <f t="shared" si="15"/>
        <v>3219.25</v>
      </c>
      <c r="M177" s="28">
        <f t="shared" si="16"/>
        <v>5</v>
      </c>
      <c r="N177" s="31">
        <f t="shared" si="17"/>
        <v>-6.0156250000000799E-3</v>
      </c>
      <c r="O177" s="24">
        <f>IF(J177="UNKNOWN","",INDEX(Cost_Rollup!$F$5:$F$16,MATCH(I177,Cost_Rollup!$A$5:$A$16,0)))</f>
        <v>429.94831999999997</v>
      </c>
      <c r="P177" s="24">
        <f t="shared" si="18"/>
        <v>2149.7415999999998</v>
      </c>
      <c r="Q177" s="15" t="str">
        <f t="shared" si="19"/>
        <v/>
      </c>
      <c r="R177" s="15" t="str">
        <f t="shared" si="20"/>
        <v>OK</v>
      </c>
    </row>
    <row r="178" spans="1:18" x14ac:dyDescent="0.3">
      <c r="A178" s="12" t="s">
        <v>448</v>
      </c>
      <c r="B178" s="30">
        <v>45912</v>
      </c>
      <c r="C178" s="12" t="s">
        <v>292</v>
      </c>
      <c r="D178" s="12" t="s">
        <v>277</v>
      </c>
      <c r="E178" s="12" t="s">
        <v>70</v>
      </c>
      <c r="F178" s="12" t="s">
        <v>108</v>
      </c>
      <c r="G178" s="23">
        <v>29</v>
      </c>
      <c r="H178" s="22">
        <v>1058.18</v>
      </c>
      <c r="I178" s="15" t="str">
        <f t="shared" si="14"/>
        <v>PC-RCP-0900</v>
      </c>
      <c r="J178" s="15" t="str">
        <f>IFERROR(INDEX(Items!$C$2:$C$500,MATCH(I178,Items!$H$2:$H$500,0)),"UNKNOWN")</f>
        <v>Pipe</v>
      </c>
      <c r="K178" s="24">
        <f>IF(J178="UNKNOWN","",INDEX(Items!$F$2:$F$500,MATCH(I178,Items!$H$2:$H$500,0)))</f>
        <v>1150</v>
      </c>
      <c r="L178" s="24">
        <f t="shared" si="15"/>
        <v>30687.22</v>
      </c>
      <c r="M178" s="28">
        <f t="shared" si="16"/>
        <v>29</v>
      </c>
      <c r="N178" s="31">
        <f t="shared" si="17"/>
        <v>7.984347826086946E-2</v>
      </c>
      <c r="O178" s="24">
        <f>IF(J178="UNKNOWN","",INDEX(Cost_Rollup!$F$5:$F$16,MATCH(I178,Cost_Rollup!$A$5:$A$16,0)))</f>
        <v>750.43372656869997</v>
      </c>
      <c r="P178" s="24">
        <f t="shared" si="18"/>
        <v>21762.578070492298</v>
      </c>
      <c r="Q178" s="15" t="str">
        <f t="shared" si="19"/>
        <v/>
      </c>
      <c r="R178" s="15" t="str">
        <f t="shared" si="20"/>
        <v>OK</v>
      </c>
    </row>
    <row r="179" spans="1:18" x14ac:dyDescent="0.3">
      <c r="A179" s="12" t="s">
        <v>449</v>
      </c>
      <c r="B179" s="30">
        <v>45916</v>
      </c>
      <c r="C179" s="12" t="s">
        <v>268</v>
      </c>
      <c r="D179" s="12" t="s">
        <v>269</v>
      </c>
      <c r="E179" s="12" t="s">
        <v>70</v>
      </c>
      <c r="F179" s="12" t="s">
        <v>115</v>
      </c>
      <c r="G179" s="23">
        <v>4</v>
      </c>
      <c r="H179" s="22">
        <v>905.1</v>
      </c>
      <c r="I179" s="15" t="str">
        <f t="shared" si="14"/>
        <v>PC-MH-1050B</v>
      </c>
      <c r="J179" s="15" t="str">
        <f>IFERROR(INDEX(Items!$C$2:$C$500,MATCH(I179,Items!$H$2:$H$500,0)),"UNKNOWN")</f>
        <v>Manhole</v>
      </c>
      <c r="K179" s="24">
        <f>IF(J179="UNKNOWN","",INDEX(Items!$F$2:$F$500,MATCH(I179,Items!$H$2:$H$500,0)))</f>
        <v>980</v>
      </c>
      <c r="L179" s="24">
        <f t="shared" si="15"/>
        <v>3620.4</v>
      </c>
      <c r="M179" s="28">
        <f t="shared" si="16"/>
        <v>4</v>
      </c>
      <c r="N179" s="31">
        <f t="shared" si="17"/>
        <v>7.6428571428571401E-2</v>
      </c>
      <c r="O179" s="24">
        <f>IF(J179="UNKNOWN","",INDEX(Cost_Rollup!$F$5:$F$16,MATCH(I179,Cost_Rollup!$A$5:$A$16,0)))</f>
        <v>635.43299999999999</v>
      </c>
      <c r="P179" s="24">
        <f t="shared" si="18"/>
        <v>2541.732</v>
      </c>
      <c r="Q179" s="15" t="str">
        <f t="shared" si="19"/>
        <v/>
      </c>
      <c r="R179" s="15" t="str">
        <f t="shared" si="20"/>
        <v>OK</v>
      </c>
    </row>
    <row r="180" spans="1:18" x14ac:dyDescent="0.3">
      <c r="A180" s="12" t="s">
        <v>450</v>
      </c>
      <c r="B180" s="30">
        <v>45917</v>
      </c>
      <c r="C180" s="12" t="s">
        <v>273</v>
      </c>
      <c r="D180" s="12" t="s">
        <v>274</v>
      </c>
      <c r="E180" s="12" t="s">
        <v>147</v>
      </c>
      <c r="F180" s="12" t="s">
        <v>125</v>
      </c>
      <c r="G180" s="23">
        <v>7</v>
      </c>
      <c r="H180" s="22">
        <v>1473.77</v>
      </c>
      <c r="I180" s="15" t="str">
        <f t="shared" si="14"/>
        <v>PC-BAR-F38</v>
      </c>
      <c r="J180" s="15" t="str">
        <f>IFERROR(INDEX(Items!$C$2:$C$500,MATCH(I180,Items!$H$2:$H$500,0)),"UNKNOWN")</f>
        <v>Barrier</v>
      </c>
      <c r="K180" s="24">
        <f>IF(J180="UNKNOWN","",INDEX(Items!$F$2:$F$500,MATCH(I180,Items!$H$2:$H$500,0)))</f>
        <v>1450</v>
      </c>
      <c r="L180" s="24">
        <f t="shared" si="15"/>
        <v>10316.39</v>
      </c>
      <c r="M180" s="28">
        <f t="shared" si="16"/>
        <v>7</v>
      </c>
      <c r="N180" s="31">
        <f t="shared" si="17"/>
        <v>-1.6393103448275825E-2</v>
      </c>
      <c r="O180" s="24">
        <f>IF(J180="UNKNOWN","",INDEX(Cost_Rollup!$F$5:$F$16,MATCH(I180,Cost_Rollup!$A$5:$A$16,0)))</f>
        <v>978.66327999999999</v>
      </c>
      <c r="P180" s="24">
        <f t="shared" si="18"/>
        <v>6850.6429600000001</v>
      </c>
      <c r="Q180" s="15" t="str">
        <f t="shared" si="19"/>
        <v/>
      </c>
      <c r="R180" s="15" t="str">
        <f t="shared" si="20"/>
        <v>OK</v>
      </c>
    </row>
    <row r="181" spans="1:18" x14ac:dyDescent="0.3">
      <c r="A181" s="12" t="s">
        <v>451</v>
      </c>
      <c r="B181" s="30">
        <v>45917</v>
      </c>
      <c r="C181" s="12" t="s">
        <v>279</v>
      </c>
      <c r="D181" s="12" t="s">
        <v>280</v>
      </c>
      <c r="E181" s="12" t="s">
        <v>147</v>
      </c>
      <c r="F181" s="12" t="s">
        <v>129</v>
      </c>
      <c r="G181" s="23">
        <v>15</v>
      </c>
      <c r="H181" s="22">
        <v>2165.63</v>
      </c>
      <c r="I181" s="15" t="str">
        <f t="shared" si="14"/>
        <v>PC-BAR-SS60</v>
      </c>
      <c r="J181" s="15" t="str">
        <f>IFERROR(INDEX(Items!$C$2:$C$500,MATCH(I181,Items!$H$2:$H$500,0)),"UNKNOWN")</f>
        <v>Barrier</v>
      </c>
      <c r="K181" s="24">
        <f>IF(J181="UNKNOWN","",INDEX(Items!$F$2:$F$500,MATCH(I181,Items!$H$2:$H$500,0)))</f>
        <v>2350</v>
      </c>
      <c r="L181" s="24">
        <f t="shared" si="15"/>
        <v>32484.45</v>
      </c>
      <c r="M181" s="28">
        <f t="shared" si="16"/>
        <v>15</v>
      </c>
      <c r="N181" s="31">
        <f t="shared" si="17"/>
        <v>7.8455319148936109E-2</v>
      </c>
      <c r="O181" s="24">
        <f>IF(J181="UNKNOWN","",INDEX(Cost_Rollup!$F$5:$F$16,MATCH(I181,Cost_Rollup!$A$5:$A$16,0)))</f>
        <v>1583.5454</v>
      </c>
      <c r="P181" s="24">
        <f t="shared" si="18"/>
        <v>23753.181</v>
      </c>
      <c r="Q181" s="15" t="str">
        <f t="shared" si="19"/>
        <v/>
      </c>
      <c r="R181" s="15" t="str">
        <f t="shared" si="20"/>
        <v>OK</v>
      </c>
    </row>
    <row r="182" spans="1:18" x14ac:dyDescent="0.3">
      <c r="A182" s="12" t="s">
        <v>452</v>
      </c>
      <c r="B182" s="30">
        <v>45924</v>
      </c>
      <c r="C182" s="12" t="s">
        <v>268</v>
      </c>
      <c r="D182" s="12" t="s">
        <v>269</v>
      </c>
      <c r="E182" s="12" t="s">
        <v>70</v>
      </c>
      <c r="F182" s="12" t="s">
        <v>131</v>
      </c>
      <c r="G182" s="23">
        <v>354</v>
      </c>
      <c r="H182" s="22">
        <v>114.56</v>
      </c>
      <c r="I182" s="15" t="str">
        <f t="shared" si="14"/>
        <v>PC-HC-200</v>
      </c>
      <c r="J182" s="15" t="str">
        <f>IFERROR(INDEX(Items!$C$2:$C$500,MATCH(I182,Items!$H$2:$H$500,0)),"UNKNOWN")</f>
        <v>Slab</v>
      </c>
      <c r="K182" s="24">
        <f>IF(J182="UNKNOWN","",INDEX(Items!$F$2:$F$500,MATCH(I182,Items!$H$2:$H$500,0)))</f>
        <v>118</v>
      </c>
      <c r="L182" s="24">
        <f t="shared" si="15"/>
        <v>40554.239999999998</v>
      </c>
      <c r="M182" s="28">
        <f t="shared" si="16"/>
        <v>354</v>
      </c>
      <c r="N182" s="31">
        <f t="shared" si="17"/>
        <v>2.915254237288134E-2</v>
      </c>
      <c r="O182" s="24">
        <f>IF(J182="UNKNOWN","",INDEX(Cost_Rollup!$F$5:$F$16,MATCH(I182,Cost_Rollup!$A$5:$A$16,0)))</f>
        <v>78.893820000000005</v>
      </c>
      <c r="P182" s="24">
        <f t="shared" si="18"/>
        <v>27928.41228</v>
      </c>
      <c r="Q182" s="15" t="str">
        <f t="shared" si="19"/>
        <v/>
      </c>
      <c r="R182" s="15" t="str">
        <f t="shared" si="20"/>
        <v>OK</v>
      </c>
    </row>
    <row r="183" spans="1:18" x14ac:dyDescent="0.3">
      <c r="A183" s="12" t="s">
        <v>453</v>
      </c>
      <c r="B183" s="30">
        <v>45925</v>
      </c>
      <c r="C183" s="12" t="s">
        <v>260</v>
      </c>
      <c r="D183" s="12" t="s">
        <v>258</v>
      </c>
      <c r="E183" s="12" t="s">
        <v>70</v>
      </c>
      <c r="F183" s="12" t="s">
        <v>135</v>
      </c>
      <c r="G183" s="23">
        <v>214</v>
      </c>
      <c r="H183" s="22">
        <v>124.11</v>
      </c>
      <c r="I183" s="15" t="str">
        <f t="shared" si="14"/>
        <v>PC-HC-250</v>
      </c>
      <c r="J183" s="15" t="str">
        <f>IFERROR(INDEX(Items!$C$2:$C$500,MATCH(I183,Items!$H$2:$H$500,0)),"UNKNOWN")</f>
        <v>Slab</v>
      </c>
      <c r="K183" s="24">
        <f>IF(J183="UNKNOWN","",INDEX(Items!$F$2:$F$500,MATCH(I183,Items!$H$2:$H$500,0)))</f>
        <v>136</v>
      </c>
      <c r="L183" s="24">
        <f t="shared" si="15"/>
        <v>26559.54</v>
      </c>
      <c r="M183" s="28">
        <f t="shared" si="16"/>
        <v>214</v>
      </c>
      <c r="N183" s="31">
        <f t="shared" si="17"/>
        <v>8.7426470588235272E-2</v>
      </c>
      <c r="O183" s="24">
        <f>IF(J183="UNKNOWN","",INDEX(Cost_Rollup!$F$5:$F$16,MATCH(I183,Cost_Rollup!$A$5:$A$16,0)))</f>
        <v>92.940240000000003</v>
      </c>
      <c r="P183" s="24">
        <f t="shared" si="18"/>
        <v>19889.211360000001</v>
      </c>
      <c r="Q183" s="15" t="str">
        <f t="shared" si="19"/>
        <v/>
      </c>
      <c r="R183" s="15" t="str">
        <f t="shared" si="20"/>
        <v>OK</v>
      </c>
    </row>
    <row r="184" spans="1:18" x14ac:dyDescent="0.3">
      <c r="A184" s="12" t="s">
        <v>454</v>
      </c>
      <c r="B184" s="30">
        <v>45925</v>
      </c>
      <c r="C184" s="12" t="s">
        <v>265</v>
      </c>
      <c r="D184" s="12" t="s">
        <v>266</v>
      </c>
      <c r="E184" s="12" t="s">
        <v>70</v>
      </c>
      <c r="F184" s="12" t="s">
        <v>122</v>
      </c>
      <c r="G184" s="23">
        <v>12</v>
      </c>
      <c r="H184" s="22">
        <v>685.05</v>
      </c>
      <c r="I184" s="15" t="str">
        <f t="shared" si="14"/>
        <v>PC-CB-0600</v>
      </c>
      <c r="J184" s="15" t="str">
        <f>IFERROR(INDEX(Items!$C$2:$C$500,MATCH(I184,Items!$H$2:$H$500,0)),"UNKNOWN")</f>
        <v>Catch Basin</v>
      </c>
      <c r="K184" s="24">
        <f>IF(J184="UNKNOWN","",INDEX(Items!$F$2:$F$500,MATCH(I184,Items!$H$2:$H$500,0)))</f>
        <v>690</v>
      </c>
      <c r="L184" s="24">
        <f t="shared" si="15"/>
        <v>8220.5999999999985</v>
      </c>
      <c r="M184" s="28">
        <f t="shared" si="16"/>
        <v>12</v>
      </c>
      <c r="N184" s="31">
        <f t="shared" si="17"/>
        <v>7.1739130434783638E-3</v>
      </c>
      <c r="O184" s="24">
        <f>IF(J184="UNKNOWN","",INDEX(Cost_Rollup!$F$5:$F$16,MATCH(I184,Cost_Rollup!$A$5:$A$16,0)))</f>
        <v>471.04880000000003</v>
      </c>
      <c r="P184" s="24">
        <f t="shared" si="18"/>
        <v>5652.5856000000003</v>
      </c>
      <c r="Q184" s="15" t="str">
        <f t="shared" si="19"/>
        <v/>
      </c>
      <c r="R184" s="15" t="str">
        <f t="shared" si="20"/>
        <v>OK</v>
      </c>
    </row>
    <row r="185" spans="1:18" x14ac:dyDescent="0.3">
      <c r="A185" s="12" t="s">
        <v>455</v>
      </c>
      <c r="B185" s="30">
        <v>45926</v>
      </c>
      <c r="C185" s="12" t="s">
        <v>268</v>
      </c>
      <c r="D185" s="12" t="s">
        <v>269</v>
      </c>
      <c r="E185" s="12" t="s">
        <v>70</v>
      </c>
      <c r="F185" s="12" t="s">
        <v>122</v>
      </c>
      <c r="G185" s="23">
        <v>4</v>
      </c>
      <c r="H185" s="22">
        <v>714.44</v>
      </c>
      <c r="I185" s="15" t="str">
        <f t="shared" si="14"/>
        <v>PC-CB-0600</v>
      </c>
      <c r="J185" s="15" t="str">
        <f>IFERROR(INDEX(Items!$C$2:$C$500,MATCH(I185,Items!$H$2:$H$500,0)),"UNKNOWN")</f>
        <v>Catch Basin</v>
      </c>
      <c r="K185" s="24">
        <f>IF(J185="UNKNOWN","",INDEX(Items!$F$2:$F$500,MATCH(I185,Items!$H$2:$H$500,0)))</f>
        <v>690</v>
      </c>
      <c r="L185" s="24">
        <f t="shared" si="15"/>
        <v>2857.76</v>
      </c>
      <c r="M185" s="28">
        <f t="shared" si="16"/>
        <v>4</v>
      </c>
      <c r="N185" s="31">
        <f t="shared" si="17"/>
        <v>-3.5420289855072618E-2</v>
      </c>
      <c r="O185" s="24">
        <f>IF(J185="UNKNOWN","",INDEX(Cost_Rollup!$F$5:$F$16,MATCH(I185,Cost_Rollup!$A$5:$A$16,0)))</f>
        <v>471.04880000000003</v>
      </c>
      <c r="P185" s="24">
        <f t="shared" si="18"/>
        <v>1884.1952000000001</v>
      </c>
      <c r="Q185" s="15" t="str">
        <f t="shared" si="19"/>
        <v/>
      </c>
      <c r="R185" s="15" t="str">
        <f t="shared" si="20"/>
        <v>OK</v>
      </c>
    </row>
    <row r="186" spans="1:18" x14ac:dyDescent="0.3">
      <c r="A186" s="12" t="s">
        <v>456</v>
      </c>
      <c r="B186" s="30">
        <v>45926</v>
      </c>
      <c r="C186" s="12" t="s">
        <v>268</v>
      </c>
      <c r="D186" s="12" t="s">
        <v>269</v>
      </c>
      <c r="E186" s="12" t="s">
        <v>70</v>
      </c>
      <c r="F186" s="12" t="s">
        <v>118</v>
      </c>
      <c r="G186" s="23">
        <v>6</v>
      </c>
      <c r="H186" s="22">
        <v>1125.77</v>
      </c>
      <c r="I186" s="15" t="str">
        <f t="shared" si="14"/>
        <v>PC-MH-1200B</v>
      </c>
      <c r="J186" s="15" t="str">
        <f>IFERROR(INDEX(Items!$C$2:$C$500,MATCH(I186,Items!$H$2:$H$500,0)),"UNKNOWN")</f>
        <v>Manhole</v>
      </c>
      <c r="K186" s="24">
        <f>IF(J186="UNKNOWN","",INDEX(Items!$F$2:$F$500,MATCH(I186,Items!$H$2:$H$500,0)))</f>
        <v>1240</v>
      </c>
      <c r="L186" s="24">
        <f t="shared" si="15"/>
        <v>6754.62</v>
      </c>
      <c r="M186" s="28">
        <f t="shared" si="16"/>
        <v>6</v>
      </c>
      <c r="N186" s="31">
        <f t="shared" si="17"/>
        <v>9.2120967741935456E-2</v>
      </c>
      <c r="O186" s="24">
        <f>IF(J186="UNKNOWN","",INDEX(Cost_Rollup!$F$5:$F$16,MATCH(I186,Cost_Rollup!$A$5:$A$16,0)))</f>
        <v>753.42079999999999</v>
      </c>
      <c r="P186" s="24">
        <f t="shared" si="18"/>
        <v>4520.5248000000001</v>
      </c>
      <c r="Q186" s="15" t="str">
        <f t="shared" si="19"/>
        <v/>
      </c>
      <c r="R186" s="15" t="str">
        <f t="shared" si="20"/>
        <v>OK</v>
      </c>
    </row>
    <row r="187" spans="1:18" x14ac:dyDescent="0.3">
      <c r="A187" s="12" t="s">
        <v>457</v>
      </c>
      <c r="B187" s="30">
        <v>45926</v>
      </c>
      <c r="C187" s="12" t="s">
        <v>257</v>
      </c>
      <c r="D187" s="12" t="s">
        <v>258</v>
      </c>
      <c r="E187" s="12" t="s">
        <v>70</v>
      </c>
      <c r="F187" s="12" t="s">
        <v>125</v>
      </c>
      <c r="G187" s="23">
        <v>10</v>
      </c>
      <c r="H187" s="22">
        <v>1399.52</v>
      </c>
      <c r="I187" s="15" t="str">
        <f t="shared" si="14"/>
        <v>PC-BAR-F38</v>
      </c>
      <c r="J187" s="15" t="str">
        <f>IFERROR(INDEX(Items!$C$2:$C$500,MATCH(I187,Items!$H$2:$H$500,0)),"UNKNOWN")</f>
        <v>Barrier</v>
      </c>
      <c r="K187" s="24">
        <f>IF(J187="UNKNOWN","",INDEX(Items!$F$2:$F$500,MATCH(I187,Items!$H$2:$H$500,0)))</f>
        <v>1450</v>
      </c>
      <c r="L187" s="24">
        <f t="shared" si="15"/>
        <v>13995.2</v>
      </c>
      <c r="M187" s="28">
        <f t="shared" si="16"/>
        <v>10</v>
      </c>
      <c r="N187" s="31">
        <f t="shared" si="17"/>
        <v>3.4813793103448343E-2</v>
      </c>
      <c r="O187" s="24">
        <f>IF(J187="UNKNOWN","",INDEX(Cost_Rollup!$F$5:$F$16,MATCH(I187,Cost_Rollup!$A$5:$A$16,0)))</f>
        <v>978.66327999999999</v>
      </c>
      <c r="P187" s="24">
        <f t="shared" si="18"/>
        <v>9786.6327999999994</v>
      </c>
      <c r="Q187" s="15" t="str">
        <f t="shared" si="19"/>
        <v/>
      </c>
      <c r="R187" s="15" t="str">
        <f t="shared" si="20"/>
        <v>OK</v>
      </c>
    </row>
    <row r="188" spans="1:18" x14ac:dyDescent="0.3">
      <c r="A188" s="12" t="s">
        <v>458</v>
      </c>
      <c r="B188" s="30">
        <v>45927</v>
      </c>
      <c r="C188" s="12" t="s">
        <v>292</v>
      </c>
      <c r="D188" s="12" t="s">
        <v>277</v>
      </c>
      <c r="E188" s="12" t="s">
        <v>70</v>
      </c>
      <c r="F188" s="12" t="s">
        <v>110</v>
      </c>
      <c r="G188" s="23">
        <v>25</v>
      </c>
      <c r="H188" s="22">
        <v>1171.8</v>
      </c>
      <c r="I188" s="15" t="str">
        <f t="shared" si="14"/>
        <v>PC-RCP-1200</v>
      </c>
      <c r="J188" s="15" t="str">
        <f>IFERROR(INDEX(Items!$C$2:$C$500,MATCH(I188,Items!$H$2:$H$500,0)),"UNKNOWN")</f>
        <v>Pipe</v>
      </c>
      <c r="K188" s="24">
        <f>IF(J188="UNKNOWN","",INDEX(Items!$F$2:$F$500,MATCH(I188,Items!$H$2:$H$500,0)))</f>
        <v>1890</v>
      </c>
      <c r="L188" s="24">
        <f t="shared" si="15"/>
        <v>29295</v>
      </c>
      <c r="M188" s="28">
        <f t="shared" si="16"/>
        <v>25</v>
      </c>
      <c r="N188" s="31">
        <f t="shared" si="17"/>
        <v>0.38</v>
      </c>
      <c r="O188" s="24">
        <f>IF(J188="UNKNOWN","",INDEX(Cost_Rollup!$F$5:$F$16,MATCH(I188,Cost_Rollup!$A$5:$A$16,0)))</f>
        <v>1206.4054000000001</v>
      </c>
      <c r="P188" s="24">
        <f t="shared" si="18"/>
        <v>30160.135000000002</v>
      </c>
      <c r="Q188" s="15" t="str">
        <f t="shared" si="19"/>
        <v xml:space="preserve">Discount above limit; </v>
      </c>
      <c r="R188" s="15" t="str">
        <f t="shared" si="20"/>
        <v>CHECK</v>
      </c>
    </row>
    <row r="189" spans="1:18" x14ac:dyDescent="0.3">
      <c r="A189" s="12" t="s">
        <v>459</v>
      </c>
      <c r="B189" s="30">
        <v>45929</v>
      </c>
      <c r="C189" s="12" t="s">
        <v>265</v>
      </c>
      <c r="D189" s="12" t="s">
        <v>266</v>
      </c>
      <c r="E189" s="12" t="s">
        <v>70</v>
      </c>
      <c r="F189" s="12" t="s">
        <v>120</v>
      </c>
      <c r="G189" s="23">
        <v>6</v>
      </c>
      <c r="H189" s="22">
        <v>501.4</v>
      </c>
      <c r="I189" s="15" t="str">
        <f t="shared" si="14"/>
        <v>PC-MH-1200R</v>
      </c>
      <c r="J189" s="15" t="str">
        <f>IFERROR(INDEX(Items!$C$2:$C$500,MATCH(I189,Items!$H$2:$H$500,0)),"UNKNOWN")</f>
        <v>Manhole</v>
      </c>
      <c r="K189" s="24">
        <f>IF(J189="UNKNOWN","",INDEX(Items!$F$2:$F$500,MATCH(I189,Items!$H$2:$H$500,0)))</f>
        <v>520</v>
      </c>
      <c r="L189" s="24">
        <f t="shared" si="15"/>
        <v>3008.3999999999996</v>
      </c>
      <c r="M189" s="28">
        <f t="shared" si="16"/>
        <v>6</v>
      </c>
      <c r="N189" s="31">
        <f t="shared" si="17"/>
        <v>3.5769230769230775E-2</v>
      </c>
      <c r="O189" s="24">
        <f>IF(J189="UNKNOWN","",INDEX(Cost_Rollup!$F$5:$F$16,MATCH(I189,Cost_Rollup!$A$5:$A$16,0)))</f>
        <v>381.98428000000001</v>
      </c>
      <c r="P189" s="24">
        <f t="shared" si="18"/>
        <v>2291.9056799999998</v>
      </c>
      <c r="Q189" s="15" t="str">
        <f t="shared" si="19"/>
        <v/>
      </c>
      <c r="R189" s="15" t="str">
        <f t="shared" si="20"/>
        <v>OK</v>
      </c>
    </row>
    <row r="190" spans="1:18" x14ac:dyDescent="0.3">
      <c r="A190" s="12" t="s">
        <v>460</v>
      </c>
      <c r="B190" s="30">
        <v>45929</v>
      </c>
      <c r="C190" s="12" t="s">
        <v>292</v>
      </c>
      <c r="D190" s="12" t="s">
        <v>277</v>
      </c>
      <c r="E190" s="12" t="s">
        <v>70</v>
      </c>
      <c r="F190" s="12" t="s">
        <v>125</v>
      </c>
      <c r="G190" s="23">
        <v>12</v>
      </c>
      <c r="H190" s="22">
        <v>1419.24</v>
      </c>
      <c r="I190" s="15" t="str">
        <f t="shared" si="14"/>
        <v>PC-BAR-F38</v>
      </c>
      <c r="J190" s="15" t="str">
        <f>IFERROR(INDEX(Items!$C$2:$C$500,MATCH(I190,Items!$H$2:$H$500,0)),"UNKNOWN")</f>
        <v>Barrier</v>
      </c>
      <c r="K190" s="24">
        <f>IF(J190="UNKNOWN","",INDEX(Items!$F$2:$F$500,MATCH(I190,Items!$H$2:$H$500,0)))</f>
        <v>1450</v>
      </c>
      <c r="L190" s="24">
        <f t="shared" si="15"/>
        <v>17030.88</v>
      </c>
      <c r="M190" s="28">
        <f t="shared" si="16"/>
        <v>12</v>
      </c>
      <c r="N190" s="31">
        <f t="shared" si="17"/>
        <v>2.1213793103448286E-2</v>
      </c>
      <c r="O190" s="24">
        <f>IF(J190="UNKNOWN","",INDEX(Cost_Rollup!$F$5:$F$16,MATCH(I190,Cost_Rollup!$A$5:$A$16,0)))</f>
        <v>978.66327999999999</v>
      </c>
      <c r="P190" s="24">
        <f t="shared" si="18"/>
        <v>11743.959360000001</v>
      </c>
      <c r="Q190" s="15" t="str">
        <f t="shared" si="19"/>
        <v/>
      </c>
      <c r="R190" s="15" t="str">
        <f t="shared" si="20"/>
        <v>OK</v>
      </c>
    </row>
    <row r="191" spans="1:18" x14ac:dyDescent="0.3">
      <c r="A191" s="12" t="s">
        <v>461</v>
      </c>
      <c r="B191" s="30">
        <v>45930</v>
      </c>
      <c r="C191" s="12" t="s">
        <v>260</v>
      </c>
      <c r="D191" s="12" t="s">
        <v>258</v>
      </c>
      <c r="E191" s="12" t="s">
        <v>70</v>
      </c>
      <c r="F191" s="12" t="s">
        <v>135</v>
      </c>
      <c r="G191" s="23">
        <v>358</v>
      </c>
      <c r="H191" s="22">
        <v>130.58000000000001</v>
      </c>
      <c r="I191" s="15" t="str">
        <f t="shared" si="14"/>
        <v>PC-HC-250</v>
      </c>
      <c r="J191" s="15" t="str">
        <f>IFERROR(INDEX(Items!$C$2:$C$500,MATCH(I191,Items!$H$2:$H$500,0)),"UNKNOWN")</f>
        <v>Slab</v>
      </c>
      <c r="K191" s="24">
        <f>IF(J191="UNKNOWN","",INDEX(Items!$F$2:$F$500,MATCH(I191,Items!$H$2:$H$500,0)))</f>
        <v>136</v>
      </c>
      <c r="L191" s="24">
        <f t="shared" si="15"/>
        <v>46747.640000000007</v>
      </c>
      <c r="M191" s="28">
        <f t="shared" si="16"/>
        <v>358</v>
      </c>
      <c r="N191" s="31">
        <f t="shared" si="17"/>
        <v>3.9852941176470535E-2</v>
      </c>
      <c r="O191" s="24">
        <f>IF(J191="UNKNOWN","",INDEX(Cost_Rollup!$F$5:$F$16,MATCH(I191,Cost_Rollup!$A$5:$A$16,0)))</f>
        <v>92.940240000000003</v>
      </c>
      <c r="P191" s="24">
        <f t="shared" si="18"/>
        <v>33272.605920000002</v>
      </c>
      <c r="Q191" s="15" t="str">
        <f t="shared" si="19"/>
        <v/>
      </c>
      <c r="R191" s="15" t="str">
        <f t="shared" si="20"/>
        <v>OK</v>
      </c>
    </row>
    <row r="192" spans="1:18" x14ac:dyDescent="0.3">
      <c r="A192" s="12" t="s">
        <v>462</v>
      </c>
      <c r="B192" s="30">
        <v>45930</v>
      </c>
      <c r="C192" s="12" t="s">
        <v>285</v>
      </c>
      <c r="D192" s="12" t="s">
        <v>266</v>
      </c>
      <c r="E192" s="12" t="s">
        <v>70</v>
      </c>
      <c r="F192" s="12" t="s">
        <v>118</v>
      </c>
      <c r="G192" s="23">
        <v>8</v>
      </c>
      <c r="H192" s="22">
        <v>1171.19</v>
      </c>
      <c r="I192" s="15" t="str">
        <f t="shared" si="14"/>
        <v>PC-MH-1200B</v>
      </c>
      <c r="J192" s="15" t="str">
        <f>IFERROR(INDEX(Items!$C$2:$C$500,MATCH(I192,Items!$H$2:$H$500,0)),"UNKNOWN")</f>
        <v>Manhole</v>
      </c>
      <c r="K192" s="24">
        <f>IF(J192="UNKNOWN","",INDEX(Items!$F$2:$F$500,MATCH(I192,Items!$H$2:$H$500,0)))</f>
        <v>1240</v>
      </c>
      <c r="L192" s="24">
        <f t="shared" si="15"/>
        <v>9369.52</v>
      </c>
      <c r="M192" s="28">
        <f t="shared" si="16"/>
        <v>8</v>
      </c>
      <c r="N192" s="31">
        <f t="shared" si="17"/>
        <v>5.549193548387088E-2</v>
      </c>
      <c r="O192" s="24">
        <f>IF(J192="UNKNOWN","",INDEX(Cost_Rollup!$F$5:$F$16,MATCH(I192,Cost_Rollup!$A$5:$A$16,0)))</f>
        <v>753.42079999999999</v>
      </c>
      <c r="P192" s="24">
        <f t="shared" si="18"/>
        <v>6027.3663999999999</v>
      </c>
      <c r="Q192" s="15" t="str">
        <f t="shared" si="19"/>
        <v/>
      </c>
      <c r="R192" s="15" t="str">
        <f t="shared" si="20"/>
        <v>OK</v>
      </c>
    </row>
    <row r="193" spans="1:18" x14ac:dyDescent="0.3">
      <c r="A193" s="12" t="s">
        <v>463</v>
      </c>
      <c r="B193" s="30">
        <v>45931</v>
      </c>
      <c r="C193" s="12" t="s">
        <v>268</v>
      </c>
      <c r="D193" s="12" t="s">
        <v>269</v>
      </c>
      <c r="E193" s="12" t="s">
        <v>70</v>
      </c>
      <c r="F193" s="12" t="s">
        <v>108</v>
      </c>
      <c r="G193" s="23">
        <v>10</v>
      </c>
      <c r="H193" s="22">
        <v>1072.24</v>
      </c>
      <c r="I193" s="15" t="str">
        <f t="shared" si="14"/>
        <v>PC-RCP-0900</v>
      </c>
      <c r="J193" s="15" t="str">
        <f>IFERROR(INDEX(Items!$C$2:$C$500,MATCH(I193,Items!$H$2:$H$500,0)),"UNKNOWN")</f>
        <v>Pipe</v>
      </c>
      <c r="K193" s="24">
        <f>IF(J193="UNKNOWN","",INDEX(Items!$F$2:$F$500,MATCH(I193,Items!$H$2:$H$500,0)))</f>
        <v>1150</v>
      </c>
      <c r="L193" s="24">
        <f t="shared" si="15"/>
        <v>10722.4</v>
      </c>
      <c r="M193" s="28">
        <f t="shared" si="16"/>
        <v>10</v>
      </c>
      <c r="N193" s="31">
        <f t="shared" si="17"/>
        <v>6.7617391304347851E-2</v>
      </c>
      <c r="O193" s="24">
        <f>IF(J193="UNKNOWN","",INDEX(Cost_Rollup!$F$5:$F$16,MATCH(I193,Cost_Rollup!$A$5:$A$16,0)))</f>
        <v>750.43372656869997</v>
      </c>
      <c r="P193" s="24">
        <f t="shared" si="18"/>
        <v>7504.3372656869997</v>
      </c>
      <c r="Q193" s="15" t="str">
        <f t="shared" si="19"/>
        <v/>
      </c>
      <c r="R193" s="15" t="str">
        <f t="shared" si="20"/>
        <v>OK</v>
      </c>
    </row>
    <row r="194" spans="1:18" x14ac:dyDescent="0.3">
      <c r="A194" s="12" t="s">
        <v>464</v>
      </c>
      <c r="B194" s="30">
        <v>45932</v>
      </c>
      <c r="C194" s="12" t="s">
        <v>276</v>
      </c>
      <c r="D194" s="12" t="s">
        <v>277</v>
      </c>
      <c r="E194" s="12" t="s">
        <v>70</v>
      </c>
      <c r="F194" s="12" t="s">
        <v>108</v>
      </c>
      <c r="G194" s="23">
        <v>30</v>
      </c>
      <c r="H194" s="22">
        <v>1079.45</v>
      </c>
      <c r="I194" s="15" t="str">
        <f t="shared" ref="I194:I261" si="21">UPPER(TRIM(F194))</f>
        <v>PC-RCP-0900</v>
      </c>
      <c r="J194" s="15" t="str">
        <f>IFERROR(INDEX(Items!$C$2:$C$500,MATCH(I194,Items!$H$2:$H$500,0)),"UNKNOWN")</f>
        <v>Pipe</v>
      </c>
      <c r="K194" s="24">
        <f>IF(J194="UNKNOWN","",INDEX(Items!$F$2:$F$500,MATCH(I194,Items!$H$2:$H$500,0)))</f>
        <v>1150</v>
      </c>
      <c r="L194" s="24">
        <f t="shared" ref="L194:L261" si="22">IF(ISNUMBER(H194),G194*H194,"")</f>
        <v>32383.5</v>
      </c>
      <c r="M194" s="28">
        <f t="shared" ref="M194:M261" si="23">IF(ISNUMBER(H194),G194,0)</f>
        <v>30</v>
      </c>
      <c r="N194" s="31">
        <f t="shared" ref="N194:N261" si="24">IF(AND(ISNUMBER(H194),ISNUMBER(K194)),1-H194/K194,"")</f>
        <v>6.1347826086956436E-2</v>
      </c>
      <c r="O194" s="24">
        <f>IF(J194="UNKNOWN","",INDEX(Cost_Rollup!$F$5:$F$16,MATCH(I194,Cost_Rollup!$A$5:$A$16,0)))</f>
        <v>750.43372656869997</v>
      </c>
      <c r="P194" s="24">
        <f t="shared" ref="P194:P257" si="25">IF(AND(ISNUMBER(L194),ISNUMBER(O194)),G194*O194,"")</f>
        <v>22513.011797061001</v>
      </c>
      <c r="Q194" s="15" t="str">
        <f t="shared" ref="Q194:Q261" si="26">IF(H194="","Missing price; ","")&amp;IF(J194="UNKNOWN","Unknown item; ","")&amp;IF(AND(ISNUMBER(N194),N194&gt;Discount_Threshold),"Discount above limit; ","")</f>
        <v/>
      </c>
      <c r="R194" s="15" t="str">
        <f t="shared" ref="R194:R257" si="27">IF(Q194="","OK","CHECK")</f>
        <v>OK</v>
      </c>
    </row>
    <row r="195" spans="1:18" x14ac:dyDescent="0.3">
      <c r="A195" s="12" t="s">
        <v>465</v>
      </c>
      <c r="B195" s="30">
        <v>45932</v>
      </c>
      <c r="C195" s="12" t="s">
        <v>273</v>
      </c>
      <c r="D195" s="12" t="s">
        <v>274</v>
      </c>
      <c r="E195" s="12" t="s">
        <v>147</v>
      </c>
      <c r="F195" s="12" t="s">
        <v>120</v>
      </c>
      <c r="G195" s="23">
        <v>6</v>
      </c>
      <c r="H195" s="22">
        <v>530.17999999999995</v>
      </c>
      <c r="I195" s="15" t="str">
        <f t="shared" si="21"/>
        <v>PC-MH-1200R</v>
      </c>
      <c r="J195" s="15" t="str">
        <f>IFERROR(INDEX(Items!$C$2:$C$500,MATCH(I195,Items!$H$2:$H$500,0)),"UNKNOWN")</f>
        <v>Manhole</v>
      </c>
      <c r="K195" s="24">
        <f>IF(J195="UNKNOWN","",INDEX(Items!$F$2:$F$500,MATCH(I195,Items!$H$2:$H$500,0)))</f>
        <v>520</v>
      </c>
      <c r="L195" s="24">
        <f t="shared" si="22"/>
        <v>3181.08</v>
      </c>
      <c r="M195" s="28">
        <f t="shared" si="23"/>
        <v>6</v>
      </c>
      <c r="N195" s="31">
        <f t="shared" si="24"/>
        <v>-1.9576923076922936E-2</v>
      </c>
      <c r="O195" s="24">
        <f>IF(J195="UNKNOWN","",INDEX(Cost_Rollup!$F$5:$F$16,MATCH(I195,Cost_Rollup!$A$5:$A$16,0)))</f>
        <v>381.98428000000001</v>
      </c>
      <c r="P195" s="24">
        <f t="shared" si="25"/>
        <v>2291.9056799999998</v>
      </c>
      <c r="Q195" s="15" t="str">
        <f t="shared" si="26"/>
        <v/>
      </c>
      <c r="R195" s="15" t="str">
        <f t="shared" si="27"/>
        <v>OK</v>
      </c>
    </row>
    <row r="196" spans="1:18" x14ac:dyDescent="0.3">
      <c r="A196" s="12" t="s">
        <v>466</v>
      </c>
      <c r="B196" s="30">
        <v>45932</v>
      </c>
      <c r="C196" s="12" t="s">
        <v>279</v>
      </c>
      <c r="D196" s="12" t="s">
        <v>280</v>
      </c>
      <c r="E196" s="12" t="s">
        <v>147</v>
      </c>
      <c r="F196" s="12" t="s">
        <v>115</v>
      </c>
      <c r="G196" s="23">
        <v>7</v>
      </c>
      <c r="H196" s="22">
        <v>983.32</v>
      </c>
      <c r="I196" s="15" t="str">
        <f t="shared" si="21"/>
        <v>PC-MH-1050B</v>
      </c>
      <c r="J196" s="15" t="str">
        <f>IFERROR(INDEX(Items!$C$2:$C$500,MATCH(I196,Items!$H$2:$H$500,0)),"UNKNOWN")</f>
        <v>Manhole</v>
      </c>
      <c r="K196" s="24">
        <f>IF(J196="UNKNOWN","",INDEX(Items!$F$2:$F$500,MATCH(I196,Items!$H$2:$H$500,0)))</f>
        <v>980</v>
      </c>
      <c r="L196" s="24">
        <f t="shared" si="22"/>
        <v>6883.2400000000007</v>
      </c>
      <c r="M196" s="28">
        <f t="shared" si="23"/>
        <v>7</v>
      </c>
      <c r="N196" s="31">
        <f t="shared" si="24"/>
        <v>-3.3877551020409236E-3</v>
      </c>
      <c r="O196" s="24">
        <f>IF(J196="UNKNOWN","",INDEX(Cost_Rollup!$F$5:$F$16,MATCH(I196,Cost_Rollup!$A$5:$A$16,0)))</f>
        <v>635.43299999999999</v>
      </c>
      <c r="P196" s="24">
        <f t="shared" si="25"/>
        <v>4448.0309999999999</v>
      </c>
      <c r="Q196" s="15" t="str">
        <f t="shared" si="26"/>
        <v/>
      </c>
      <c r="R196" s="15" t="str">
        <f t="shared" si="27"/>
        <v>OK</v>
      </c>
    </row>
    <row r="197" spans="1:18" x14ac:dyDescent="0.3">
      <c r="A197" s="12" t="s">
        <v>467</v>
      </c>
      <c r="B197" s="30">
        <v>45933</v>
      </c>
      <c r="C197" s="12" t="s">
        <v>268</v>
      </c>
      <c r="D197" s="12" t="s">
        <v>269</v>
      </c>
      <c r="E197" s="12" t="s">
        <v>70</v>
      </c>
      <c r="F197" s="12" t="s">
        <v>110</v>
      </c>
      <c r="G197" s="23">
        <v>17</v>
      </c>
      <c r="H197" s="22">
        <v>1949.8</v>
      </c>
      <c r="I197" s="15" t="str">
        <f t="shared" si="21"/>
        <v>PC-RCP-1200</v>
      </c>
      <c r="J197" s="15" t="str">
        <f>IFERROR(INDEX(Items!$C$2:$C$500,MATCH(I197,Items!$H$2:$H$500,0)),"UNKNOWN")</f>
        <v>Pipe</v>
      </c>
      <c r="K197" s="24">
        <f>IF(J197="UNKNOWN","",INDEX(Items!$F$2:$F$500,MATCH(I197,Items!$H$2:$H$500,0)))</f>
        <v>1890</v>
      </c>
      <c r="L197" s="24">
        <f t="shared" si="22"/>
        <v>33146.6</v>
      </c>
      <c r="M197" s="28">
        <f t="shared" si="23"/>
        <v>17</v>
      </c>
      <c r="N197" s="31">
        <f t="shared" si="24"/>
        <v>-3.1640211640211691E-2</v>
      </c>
      <c r="O197" s="24">
        <f>IF(J197="UNKNOWN","",INDEX(Cost_Rollup!$F$5:$F$16,MATCH(I197,Cost_Rollup!$A$5:$A$16,0)))</f>
        <v>1206.4054000000001</v>
      </c>
      <c r="P197" s="24">
        <f t="shared" si="25"/>
        <v>20508.891800000001</v>
      </c>
      <c r="Q197" s="15" t="str">
        <f t="shared" si="26"/>
        <v/>
      </c>
      <c r="R197" s="15" t="str">
        <f t="shared" si="27"/>
        <v>OK</v>
      </c>
    </row>
    <row r="198" spans="1:18" x14ac:dyDescent="0.3">
      <c r="A198" s="12" t="s">
        <v>468</v>
      </c>
      <c r="B198" s="30">
        <v>45935</v>
      </c>
      <c r="C198" s="12" t="s">
        <v>292</v>
      </c>
      <c r="D198" s="12" t="s">
        <v>277</v>
      </c>
      <c r="E198" s="12" t="s">
        <v>70</v>
      </c>
      <c r="F198" s="12" t="s">
        <v>129</v>
      </c>
      <c r="G198" s="23">
        <v>20</v>
      </c>
      <c r="H198" s="22">
        <v>2156.63</v>
      </c>
      <c r="I198" s="15" t="str">
        <f t="shared" si="21"/>
        <v>PC-BAR-SS60</v>
      </c>
      <c r="J198" s="15" t="str">
        <f>IFERROR(INDEX(Items!$C$2:$C$500,MATCH(I198,Items!$H$2:$H$500,0)),"UNKNOWN")</f>
        <v>Barrier</v>
      </c>
      <c r="K198" s="24">
        <f>IF(J198="UNKNOWN","",INDEX(Items!$F$2:$F$500,MATCH(I198,Items!$H$2:$H$500,0)))</f>
        <v>2350</v>
      </c>
      <c r="L198" s="24">
        <f t="shared" si="22"/>
        <v>43132.600000000006</v>
      </c>
      <c r="M198" s="28">
        <f t="shared" si="23"/>
        <v>20</v>
      </c>
      <c r="N198" s="31">
        <f t="shared" si="24"/>
        <v>8.2285106382978701E-2</v>
      </c>
      <c r="O198" s="24">
        <f>IF(J198="UNKNOWN","",INDEX(Cost_Rollup!$F$5:$F$16,MATCH(I198,Cost_Rollup!$A$5:$A$16,0)))</f>
        <v>1583.5454</v>
      </c>
      <c r="P198" s="24">
        <f t="shared" si="25"/>
        <v>31670.907999999999</v>
      </c>
      <c r="Q198" s="15" t="str">
        <f t="shared" si="26"/>
        <v/>
      </c>
      <c r="R198" s="15" t="str">
        <f t="shared" si="27"/>
        <v>OK</v>
      </c>
    </row>
    <row r="199" spans="1:18" x14ac:dyDescent="0.3">
      <c r="A199" s="12" t="s">
        <v>469</v>
      </c>
      <c r="B199" s="30">
        <v>45935</v>
      </c>
      <c r="C199" s="12" t="s">
        <v>263</v>
      </c>
      <c r="D199" s="12" t="s">
        <v>258</v>
      </c>
      <c r="E199" s="12" t="s">
        <v>70</v>
      </c>
      <c r="F199" s="12" t="s">
        <v>103</v>
      </c>
      <c r="G199" s="23">
        <v>14</v>
      </c>
      <c r="H199" s="22">
        <v>658.45</v>
      </c>
      <c r="I199" s="15" t="str">
        <f t="shared" si="21"/>
        <v>PC-RCP-0600</v>
      </c>
      <c r="J199" s="15" t="str">
        <f>IFERROR(INDEX(Items!$C$2:$C$500,MATCH(I199,Items!$H$2:$H$500,0)),"UNKNOWN")</f>
        <v>Pipe</v>
      </c>
      <c r="K199" s="24">
        <f>IF(J199="UNKNOWN","",INDEX(Items!$F$2:$F$500,MATCH(I199,Items!$H$2:$H$500,0)))</f>
        <v>640</v>
      </c>
      <c r="L199" s="24">
        <f t="shared" si="22"/>
        <v>9218.3000000000011</v>
      </c>
      <c r="M199" s="28">
        <f t="shared" si="23"/>
        <v>14</v>
      </c>
      <c r="N199" s="31">
        <f t="shared" si="24"/>
        <v>-2.8828124999999982E-2</v>
      </c>
      <c r="O199" s="24">
        <f>IF(J199="UNKNOWN","",INDEX(Cost_Rollup!$F$5:$F$16,MATCH(I199,Cost_Rollup!$A$5:$A$16,0)))</f>
        <v>429.94831999999997</v>
      </c>
      <c r="P199" s="24">
        <f t="shared" si="25"/>
        <v>6019.2764799999995</v>
      </c>
      <c r="Q199" s="15" t="str">
        <f t="shared" si="26"/>
        <v/>
      </c>
      <c r="R199" s="15" t="str">
        <f t="shared" si="27"/>
        <v>OK</v>
      </c>
    </row>
    <row r="200" spans="1:18" x14ac:dyDescent="0.3">
      <c r="A200" s="12" t="s">
        <v>470</v>
      </c>
      <c r="B200" s="30">
        <v>45937</v>
      </c>
      <c r="C200" s="12" t="s">
        <v>273</v>
      </c>
      <c r="D200" s="12" t="s">
        <v>274</v>
      </c>
      <c r="E200" s="12" t="s">
        <v>147</v>
      </c>
      <c r="F200" s="12" t="s">
        <v>122</v>
      </c>
      <c r="G200" s="23">
        <v>3</v>
      </c>
      <c r="H200" s="22">
        <v>644.4</v>
      </c>
      <c r="I200" s="15" t="str">
        <f t="shared" si="21"/>
        <v>PC-CB-0600</v>
      </c>
      <c r="J200" s="15" t="str">
        <f>IFERROR(INDEX(Items!$C$2:$C$500,MATCH(I200,Items!$H$2:$H$500,0)),"UNKNOWN")</f>
        <v>Catch Basin</v>
      </c>
      <c r="K200" s="24">
        <f>IF(J200="UNKNOWN","",INDEX(Items!$F$2:$F$500,MATCH(I200,Items!$H$2:$H$500,0)))</f>
        <v>690</v>
      </c>
      <c r="L200" s="24">
        <f t="shared" si="22"/>
        <v>1933.1999999999998</v>
      </c>
      <c r="M200" s="28">
        <f t="shared" si="23"/>
        <v>3</v>
      </c>
      <c r="N200" s="31">
        <f t="shared" si="24"/>
        <v>6.6086956521739126E-2</v>
      </c>
      <c r="O200" s="24">
        <f>IF(J200="UNKNOWN","",INDEX(Cost_Rollup!$F$5:$F$16,MATCH(I200,Cost_Rollup!$A$5:$A$16,0)))</f>
        <v>471.04880000000003</v>
      </c>
      <c r="P200" s="24">
        <f t="shared" si="25"/>
        <v>1413.1464000000001</v>
      </c>
      <c r="Q200" s="15" t="str">
        <f t="shared" si="26"/>
        <v/>
      </c>
      <c r="R200" s="15" t="str">
        <f t="shared" si="27"/>
        <v>OK</v>
      </c>
    </row>
    <row r="201" spans="1:18" x14ac:dyDescent="0.3">
      <c r="A201" s="12" t="s">
        <v>471</v>
      </c>
      <c r="B201" s="30">
        <v>45938</v>
      </c>
      <c r="C201" s="12" t="s">
        <v>268</v>
      </c>
      <c r="D201" s="12" t="s">
        <v>269</v>
      </c>
      <c r="E201" s="12" t="s">
        <v>70</v>
      </c>
      <c r="F201" s="12" t="s">
        <v>115</v>
      </c>
      <c r="G201" s="23">
        <v>8</v>
      </c>
      <c r="H201" s="22">
        <v>901.33</v>
      </c>
      <c r="I201" s="15" t="str">
        <f t="shared" si="21"/>
        <v>PC-MH-1050B</v>
      </c>
      <c r="J201" s="15" t="str">
        <f>IFERROR(INDEX(Items!$C$2:$C$500,MATCH(I201,Items!$H$2:$H$500,0)),"UNKNOWN")</f>
        <v>Manhole</v>
      </c>
      <c r="K201" s="24">
        <f>IF(J201="UNKNOWN","",INDEX(Items!$F$2:$F$500,MATCH(I201,Items!$H$2:$H$500,0)))</f>
        <v>980</v>
      </c>
      <c r="L201" s="24">
        <f t="shared" si="22"/>
        <v>7210.64</v>
      </c>
      <c r="M201" s="28">
        <f t="shared" si="23"/>
        <v>8</v>
      </c>
      <c r="N201" s="31">
        <f t="shared" si="24"/>
        <v>8.0275510204081635E-2</v>
      </c>
      <c r="O201" s="24">
        <f>IF(J201="UNKNOWN","",INDEX(Cost_Rollup!$F$5:$F$16,MATCH(I201,Cost_Rollup!$A$5:$A$16,0)))</f>
        <v>635.43299999999999</v>
      </c>
      <c r="P201" s="24">
        <f t="shared" si="25"/>
        <v>5083.4639999999999</v>
      </c>
      <c r="Q201" s="15" t="str">
        <f t="shared" si="26"/>
        <v/>
      </c>
      <c r="R201" s="15" t="str">
        <f t="shared" si="27"/>
        <v>OK</v>
      </c>
    </row>
    <row r="202" spans="1:18" x14ac:dyDescent="0.3">
      <c r="A202" s="12" t="s">
        <v>472</v>
      </c>
      <c r="B202" s="30">
        <v>45939</v>
      </c>
      <c r="C202" s="12" t="s">
        <v>265</v>
      </c>
      <c r="D202" s="12" t="s">
        <v>266</v>
      </c>
      <c r="E202" s="12" t="s">
        <v>70</v>
      </c>
      <c r="F202" s="12" t="s">
        <v>110</v>
      </c>
      <c r="G202" s="23">
        <v>23</v>
      </c>
      <c r="H202" s="22">
        <v>1846.88</v>
      </c>
      <c r="I202" s="15" t="str">
        <f t="shared" si="21"/>
        <v>PC-RCP-1200</v>
      </c>
      <c r="J202" s="15" t="str">
        <f>IFERROR(INDEX(Items!$C$2:$C$500,MATCH(I202,Items!$H$2:$H$500,0)),"UNKNOWN")</f>
        <v>Pipe</v>
      </c>
      <c r="K202" s="24">
        <f>IF(J202="UNKNOWN","",INDEX(Items!$F$2:$F$500,MATCH(I202,Items!$H$2:$H$500,0)))</f>
        <v>1890</v>
      </c>
      <c r="L202" s="24">
        <f t="shared" si="22"/>
        <v>42478.240000000005</v>
      </c>
      <c r="M202" s="28">
        <f t="shared" si="23"/>
        <v>23</v>
      </c>
      <c r="N202" s="31">
        <f t="shared" si="24"/>
        <v>2.2814814814814732E-2</v>
      </c>
      <c r="O202" s="24">
        <f>IF(J202="UNKNOWN","",INDEX(Cost_Rollup!$F$5:$F$16,MATCH(I202,Cost_Rollup!$A$5:$A$16,0)))</f>
        <v>1206.4054000000001</v>
      </c>
      <c r="P202" s="24">
        <f t="shared" si="25"/>
        <v>27747.324200000003</v>
      </c>
      <c r="Q202" s="15" t="str">
        <f t="shared" si="26"/>
        <v/>
      </c>
      <c r="R202" s="15" t="str">
        <f t="shared" si="27"/>
        <v>OK</v>
      </c>
    </row>
    <row r="203" spans="1:18" x14ac:dyDescent="0.3">
      <c r="A203" s="12" t="s">
        <v>473</v>
      </c>
      <c r="B203" s="30">
        <v>45939</v>
      </c>
      <c r="C203" s="12" t="s">
        <v>257</v>
      </c>
      <c r="D203" s="12" t="s">
        <v>258</v>
      </c>
      <c r="E203" s="12" t="s">
        <v>70</v>
      </c>
      <c r="F203" s="12" t="s">
        <v>110</v>
      </c>
      <c r="G203" s="23">
        <v>18</v>
      </c>
      <c r="H203" s="22">
        <v>1323</v>
      </c>
      <c r="I203" s="15" t="str">
        <f t="shared" si="21"/>
        <v>PC-RCP-1200</v>
      </c>
      <c r="J203" s="15" t="str">
        <f>IFERROR(INDEX(Items!$C$2:$C$500,MATCH(I203,Items!$H$2:$H$500,0)),"UNKNOWN")</f>
        <v>Pipe</v>
      </c>
      <c r="K203" s="24">
        <f>IF(J203="UNKNOWN","",INDEX(Items!$F$2:$F$500,MATCH(I203,Items!$H$2:$H$500,0)))</f>
        <v>1890</v>
      </c>
      <c r="L203" s="24">
        <f t="shared" si="22"/>
        <v>23814</v>
      </c>
      <c r="M203" s="28">
        <f t="shared" si="23"/>
        <v>18</v>
      </c>
      <c r="N203" s="31">
        <f t="shared" si="24"/>
        <v>0.30000000000000004</v>
      </c>
      <c r="O203" s="24">
        <f>IF(J203="UNKNOWN","",INDEX(Cost_Rollup!$F$5:$F$16,MATCH(I203,Cost_Rollup!$A$5:$A$16,0)))</f>
        <v>1206.4054000000001</v>
      </c>
      <c r="P203" s="24">
        <f t="shared" si="25"/>
        <v>21715.297200000001</v>
      </c>
      <c r="Q203" s="15" t="str">
        <f t="shared" si="26"/>
        <v xml:space="preserve">Discount above limit; </v>
      </c>
      <c r="R203" s="15" t="str">
        <f t="shared" si="27"/>
        <v>CHECK</v>
      </c>
    </row>
    <row r="204" spans="1:18" x14ac:dyDescent="0.3">
      <c r="A204" s="12" t="s">
        <v>474</v>
      </c>
      <c r="B204" s="30">
        <v>45940</v>
      </c>
      <c r="C204" s="12" t="s">
        <v>276</v>
      </c>
      <c r="D204" s="12" t="s">
        <v>277</v>
      </c>
      <c r="E204" s="12" t="s">
        <v>70</v>
      </c>
      <c r="F204" s="12" t="s">
        <v>120</v>
      </c>
      <c r="G204" s="23">
        <v>5</v>
      </c>
      <c r="H204" s="22">
        <v>525.26</v>
      </c>
      <c r="I204" s="15" t="str">
        <f t="shared" si="21"/>
        <v>PC-MH-1200R</v>
      </c>
      <c r="J204" s="15" t="str">
        <f>IFERROR(INDEX(Items!$C$2:$C$500,MATCH(I204,Items!$H$2:$H$500,0)),"UNKNOWN")</f>
        <v>Manhole</v>
      </c>
      <c r="K204" s="24">
        <f>IF(J204="UNKNOWN","",INDEX(Items!$F$2:$F$500,MATCH(I204,Items!$H$2:$H$500,0)))</f>
        <v>520</v>
      </c>
      <c r="L204" s="24">
        <f t="shared" si="22"/>
        <v>2626.3</v>
      </c>
      <c r="M204" s="28">
        <f t="shared" si="23"/>
        <v>5</v>
      </c>
      <c r="N204" s="31">
        <f t="shared" si="24"/>
        <v>-1.0115384615384526E-2</v>
      </c>
      <c r="O204" s="24">
        <f>IF(J204="UNKNOWN","",INDEX(Cost_Rollup!$F$5:$F$16,MATCH(I204,Cost_Rollup!$A$5:$A$16,0)))</f>
        <v>381.98428000000001</v>
      </c>
      <c r="P204" s="24">
        <f t="shared" si="25"/>
        <v>1909.9214000000002</v>
      </c>
      <c r="Q204" s="15" t="str">
        <f t="shared" si="26"/>
        <v/>
      </c>
      <c r="R204" s="15" t="str">
        <f t="shared" si="27"/>
        <v>OK</v>
      </c>
    </row>
    <row r="205" spans="1:18" x14ac:dyDescent="0.3">
      <c r="A205" s="12" t="s">
        <v>475</v>
      </c>
      <c r="B205" s="30">
        <v>45940</v>
      </c>
      <c r="C205" s="12" t="s">
        <v>276</v>
      </c>
      <c r="D205" s="12" t="s">
        <v>277</v>
      </c>
      <c r="E205" s="12" t="s">
        <v>70</v>
      </c>
      <c r="F205" s="12" t="s">
        <v>120</v>
      </c>
      <c r="G205" s="23">
        <v>5</v>
      </c>
      <c r="H205" s="22">
        <v>493.31</v>
      </c>
      <c r="I205" s="15" t="str">
        <f t="shared" si="21"/>
        <v>PC-MH-1200R</v>
      </c>
      <c r="J205" s="15" t="str">
        <f>IFERROR(INDEX(Items!$C$2:$C$500,MATCH(I205,Items!$H$2:$H$500,0)),"UNKNOWN")</f>
        <v>Manhole</v>
      </c>
      <c r="K205" s="24">
        <f>IF(J205="UNKNOWN","",INDEX(Items!$F$2:$F$500,MATCH(I205,Items!$H$2:$H$500,0)))</f>
        <v>520</v>
      </c>
      <c r="L205" s="24">
        <f t="shared" si="22"/>
        <v>2466.5500000000002</v>
      </c>
      <c r="M205" s="28">
        <f t="shared" si="23"/>
        <v>5</v>
      </c>
      <c r="N205" s="31">
        <f t="shared" si="24"/>
        <v>5.1326923076923103E-2</v>
      </c>
      <c r="O205" s="24">
        <f>IF(J205="UNKNOWN","",INDEX(Cost_Rollup!$F$5:$F$16,MATCH(I205,Cost_Rollup!$A$5:$A$16,0)))</f>
        <v>381.98428000000001</v>
      </c>
      <c r="P205" s="24">
        <f t="shared" si="25"/>
        <v>1909.9214000000002</v>
      </c>
      <c r="Q205" s="15" t="str">
        <f t="shared" si="26"/>
        <v/>
      </c>
      <c r="R205" s="15" t="str">
        <f t="shared" si="27"/>
        <v>OK</v>
      </c>
    </row>
    <row r="206" spans="1:18" x14ac:dyDescent="0.3">
      <c r="A206" s="12" t="s">
        <v>476</v>
      </c>
      <c r="B206" s="30">
        <v>45942</v>
      </c>
      <c r="C206" s="12" t="s">
        <v>292</v>
      </c>
      <c r="D206" s="12" t="s">
        <v>277</v>
      </c>
      <c r="E206" s="12" t="s">
        <v>70</v>
      </c>
      <c r="F206" s="12" t="s">
        <v>125</v>
      </c>
      <c r="G206" s="23">
        <v>38</v>
      </c>
      <c r="H206" s="22">
        <v>1423.49</v>
      </c>
      <c r="I206" s="15" t="str">
        <f t="shared" si="21"/>
        <v>PC-BAR-F38</v>
      </c>
      <c r="J206" s="15" t="str">
        <f>IFERROR(INDEX(Items!$C$2:$C$500,MATCH(I206,Items!$H$2:$H$500,0)),"UNKNOWN")</f>
        <v>Barrier</v>
      </c>
      <c r="K206" s="24">
        <f>IF(J206="UNKNOWN","",INDEX(Items!$F$2:$F$500,MATCH(I206,Items!$H$2:$H$500,0)))</f>
        <v>1450</v>
      </c>
      <c r="L206" s="24">
        <f t="shared" si="22"/>
        <v>54092.62</v>
      </c>
      <c r="M206" s="28">
        <f t="shared" si="23"/>
        <v>38</v>
      </c>
      <c r="N206" s="31">
        <f t="shared" si="24"/>
        <v>1.8282758620689621E-2</v>
      </c>
      <c r="O206" s="24">
        <f>IF(J206="UNKNOWN","",INDEX(Cost_Rollup!$F$5:$F$16,MATCH(I206,Cost_Rollup!$A$5:$A$16,0)))</f>
        <v>978.66327999999999</v>
      </c>
      <c r="P206" s="24">
        <f t="shared" si="25"/>
        <v>37189.204639999996</v>
      </c>
      <c r="Q206" s="15" t="str">
        <f t="shared" si="26"/>
        <v/>
      </c>
      <c r="R206" s="15" t="str">
        <f t="shared" si="27"/>
        <v>OK</v>
      </c>
    </row>
    <row r="207" spans="1:18" x14ac:dyDescent="0.3">
      <c r="A207" s="12" t="s">
        <v>477</v>
      </c>
      <c r="B207" s="30">
        <v>45942</v>
      </c>
      <c r="C207" s="12" t="s">
        <v>276</v>
      </c>
      <c r="D207" s="12" t="s">
        <v>277</v>
      </c>
      <c r="E207" s="12" t="s">
        <v>70</v>
      </c>
      <c r="F207" s="12" t="s">
        <v>112</v>
      </c>
      <c r="G207" s="23">
        <v>8</v>
      </c>
      <c r="H207" s="22">
        <v>3844.08</v>
      </c>
      <c r="I207" s="15" t="str">
        <f t="shared" si="21"/>
        <v>PC-BOX-1812</v>
      </c>
      <c r="J207" s="15" t="str">
        <f>IFERROR(INDEX(Items!$C$2:$C$500,MATCH(I207,Items!$H$2:$H$500,0)),"UNKNOWN")</f>
        <v>Box Culvert</v>
      </c>
      <c r="K207" s="24">
        <f>IF(J207="UNKNOWN","",INDEX(Items!$F$2:$F$500,MATCH(I207,Items!$H$2:$H$500,0)))</f>
        <v>4200</v>
      </c>
      <c r="L207" s="24">
        <f t="shared" si="22"/>
        <v>30752.639999999999</v>
      </c>
      <c r="M207" s="28">
        <f t="shared" si="23"/>
        <v>8</v>
      </c>
      <c r="N207" s="31">
        <f t="shared" si="24"/>
        <v>8.474285714285712E-2</v>
      </c>
      <c r="O207" s="24">
        <f>IF(J207="UNKNOWN","",INDEX(Cost_Rollup!$F$5:$F$16,MATCH(I207,Cost_Rollup!$A$5:$A$16,0)))</f>
        <v>2795.3624</v>
      </c>
      <c r="P207" s="24">
        <f t="shared" si="25"/>
        <v>22362.8992</v>
      </c>
      <c r="Q207" s="15" t="str">
        <f t="shared" si="26"/>
        <v/>
      </c>
      <c r="R207" s="15" t="str">
        <f t="shared" si="27"/>
        <v>OK</v>
      </c>
    </row>
    <row r="208" spans="1:18" x14ac:dyDescent="0.3">
      <c r="A208" s="12" t="s">
        <v>478</v>
      </c>
      <c r="B208" s="30">
        <v>45944</v>
      </c>
      <c r="C208" s="12" t="s">
        <v>260</v>
      </c>
      <c r="D208" s="12" t="s">
        <v>258</v>
      </c>
      <c r="E208" s="12" t="s">
        <v>70</v>
      </c>
      <c r="F208" s="12" t="s">
        <v>110</v>
      </c>
      <c r="G208" s="23">
        <v>4</v>
      </c>
      <c r="H208" s="22">
        <v>1916.49</v>
      </c>
      <c r="I208" s="15" t="str">
        <f t="shared" si="21"/>
        <v>PC-RCP-1200</v>
      </c>
      <c r="J208" s="15" t="str">
        <f>IFERROR(INDEX(Items!$C$2:$C$500,MATCH(I208,Items!$H$2:$H$500,0)),"UNKNOWN")</f>
        <v>Pipe</v>
      </c>
      <c r="K208" s="24">
        <f>IF(J208="UNKNOWN","",INDEX(Items!$F$2:$F$500,MATCH(I208,Items!$H$2:$H$500,0)))</f>
        <v>1890</v>
      </c>
      <c r="L208" s="24">
        <f t="shared" si="22"/>
        <v>7665.96</v>
      </c>
      <c r="M208" s="28">
        <f t="shared" si="23"/>
        <v>4</v>
      </c>
      <c r="N208" s="31">
        <f t="shared" si="24"/>
        <v>-1.4015873015873037E-2</v>
      </c>
      <c r="O208" s="24">
        <f>IF(J208="UNKNOWN","",INDEX(Cost_Rollup!$F$5:$F$16,MATCH(I208,Cost_Rollup!$A$5:$A$16,0)))</f>
        <v>1206.4054000000001</v>
      </c>
      <c r="P208" s="24">
        <f t="shared" si="25"/>
        <v>4825.6216000000004</v>
      </c>
      <c r="Q208" s="15" t="str">
        <f t="shared" si="26"/>
        <v/>
      </c>
      <c r="R208" s="15" t="str">
        <f t="shared" si="27"/>
        <v>OK</v>
      </c>
    </row>
    <row r="209" spans="1:18" x14ac:dyDescent="0.3">
      <c r="A209" s="12" t="s">
        <v>479</v>
      </c>
      <c r="B209" s="30">
        <v>45949</v>
      </c>
      <c r="C209" s="12" t="s">
        <v>285</v>
      </c>
      <c r="D209" s="12" t="s">
        <v>266</v>
      </c>
      <c r="E209" s="12" t="s">
        <v>70</v>
      </c>
      <c r="F209" s="12" t="s">
        <v>122</v>
      </c>
      <c r="G209" s="23">
        <v>3</v>
      </c>
      <c r="H209" s="22">
        <v>705.88</v>
      </c>
      <c r="I209" s="15" t="str">
        <f t="shared" si="21"/>
        <v>PC-CB-0600</v>
      </c>
      <c r="J209" s="15" t="str">
        <f>IFERROR(INDEX(Items!$C$2:$C$500,MATCH(I209,Items!$H$2:$H$500,0)),"UNKNOWN")</f>
        <v>Catch Basin</v>
      </c>
      <c r="K209" s="24">
        <f>IF(J209="UNKNOWN","",INDEX(Items!$F$2:$F$500,MATCH(I209,Items!$H$2:$H$500,0)))</f>
        <v>690</v>
      </c>
      <c r="L209" s="24">
        <f t="shared" si="22"/>
        <v>2117.64</v>
      </c>
      <c r="M209" s="28">
        <f t="shared" si="23"/>
        <v>3</v>
      </c>
      <c r="N209" s="31">
        <f t="shared" si="24"/>
        <v>-2.3014492753623106E-2</v>
      </c>
      <c r="O209" s="24">
        <f>IF(J209="UNKNOWN","",INDEX(Cost_Rollup!$F$5:$F$16,MATCH(I209,Cost_Rollup!$A$5:$A$16,0)))</f>
        <v>471.04880000000003</v>
      </c>
      <c r="P209" s="24">
        <f t="shared" si="25"/>
        <v>1413.1464000000001</v>
      </c>
      <c r="Q209" s="15" t="str">
        <f t="shared" si="26"/>
        <v/>
      </c>
      <c r="R209" s="15" t="str">
        <f t="shared" si="27"/>
        <v>OK</v>
      </c>
    </row>
    <row r="210" spans="1:18" x14ac:dyDescent="0.3">
      <c r="A210" s="12" t="s">
        <v>480</v>
      </c>
      <c r="B210" s="30">
        <v>45950</v>
      </c>
      <c r="C210" s="12" t="s">
        <v>285</v>
      </c>
      <c r="D210" s="12" t="s">
        <v>266</v>
      </c>
      <c r="E210" s="12" t="s">
        <v>70</v>
      </c>
      <c r="F210" s="12" t="s">
        <v>118</v>
      </c>
      <c r="G210" s="23">
        <v>6</v>
      </c>
      <c r="H210" s="22">
        <v>1251.3699999999999</v>
      </c>
      <c r="I210" s="15" t="str">
        <f t="shared" si="21"/>
        <v>PC-MH-1200B</v>
      </c>
      <c r="J210" s="15" t="str">
        <f>IFERROR(INDEX(Items!$C$2:$C$500,MATCH(I210,Items!$H$2:$H$500,0)),"UNKNOWN")</f>
        <v>Manhole</v>
      </c>
      <c r="K210" s="24">
        <f>IF(J210="UNKNOWN","",INDEX(Items!$F$2:$F$500,MATCH(I210,Items!$H$2:$H$500,0)))</f>
        <v>1240</v>
      </c>
      <c r="L210" s="24">
        <f t="shared" si="22"/>
        <v>7508.2199999999993</v>
      </c>
      <c r="M210" s="28">
        <f t="shared" si="23"/>
        <v>6</v>
      </c>
      <c r="N210" s="31">
        <f t="shared" si="24"/>
        <v>-9.1693548387095092E-3</v>
      </c>
      <c r="O210" s="24">
        <f>IF(J210="UNKNOWN","",INDEX(Cost_Rollup!$F$5:$F$16,MATCH(I210,Cost_Rollup!$A$5:$A$16,0)))</f>
        <v>753.42079999999999</v>
      </c>
      <c r="P210" s="24">
        <f t="shared" si="25"/>
        <v>4520.5248000000001</v>
      </c>
      <c r="Q210" s="15" t="str">
        <f t="shared" si="26"/>
        <v/>
      </c>
      <c r="R210" s="15" t="str">
        <f t="shared" si="27"/>
        <v>OK</v>
      </c>
    </row>
    <row r="211" spans="1:18" x14ac:dyDescent="0.3">
      <c r="A211" s="12" t="s">
        <v>481</v>
      </c>
      <c r="B211" s="30">
        <v>45951</v>
      </c>
      <c r="C211" s="12" t="s">
        <v>279</v>
      </c>
      <c r="D211" s="12" t="s">
        <v>280</v>
      </c>
      <c r="E211" s="12" t="s">
        <v>147</v>
      </c>
      <c r="F211" s="12" t="s">
        <v>125</v>
      </c>
      <c r="G211" s="23">
        <v>38</v>
      </c>
      <c r="H211" s="22">
        <v>1468.45</v>
      </c>
      <c r="I211" s="15" t="str">
        <f t="shared" si="21"/>
        <v>PC-BAR-F38</v>
      </c>
      <c r="J211" s="15" t="str">
        <f>IFERROR(INDEX(Items!$C$2:$C$500,MATCH(I211,Items!$H$2:$H$500,0)),"UNKNOWN")</f>
        <v>Barrier</v>
      </c>
      <c r="K211" s="24">
        <f>IF(J211="UNKNOWN","",INDEX(Items!$F$2:$F$500,MATCH(I211,Items!$H$2:$H$500,0)))</f>
        <v>1450</v>
      </c>
      <c r="L211" s="24">
        <f t="shared" si="22"/>
        <v>55801.1</v>
      </c>
      <c r="M211" s="28">
        <f t="shared" si="23"/>
        <v>38</v>
      </c>
      <c r="N211" s="31">
        <f t="shared" si="24"/>
        <v>-1.2724137931034551E-2</v>
      </c>
      <c r="O211" s="24">
        <f>IF(J211="UNKNOWN","",INDEX(Cost_Rollup!$F$5:$F$16,MATCH(I211,Cost_Rollup!$A$5:$A$16,0)))</f>
        <v>978.66327999999999</v>
      </c>
      <c r="P211" s="24">
        <f t="shared" si="25"/>
        <v>37189.204639999996</v>
      </c>
      <c r="Q211" s="15" t="str">
        <f t="shared" si="26"/>
        <v/>
      </c>
      <c r="R211" s="15" t="str">
        <f t="shared" si="27"/>
        <v>OK</v>
      </c>
    </row>
    <row r="212" spans="1:18" x14ac:dyDescent="0.3">
      <c r="A212" s="12" t="s">
        <v>482</v>
      </c>
      <c r="B212" s="30">
        <v>45953</v>
      </c>
      <c r="C212" s="12" t="s">
        <v>265</v>
      </c>
      <c r="D212" s="12" t="s">
        <v>266</v>
      </c>
      <c r="E212" s="12" t="s">
        <v>70</v>
      </c>
      <c r="F212" s="12" t="s">
        <v>129</v>
      </c>
      <c r="G212" s="23">
        <v>23</v>
      </c>
      <c r="H212" s="22">
        <v>2300.17</v>
      </c>
      <c r="I212" s="15" t="str">
        <f t="shared" si="21"/>
        <v>PC-BAR-SS60</v>
      </c>
      <c r="J212" s="15" t="str">
        <f>IFERROR(INDEX(Items!$C$2:$C$500,MATCH(I212,Items!$H$2:$H$500,0)),"UNKNOWN")</f>
        <v>Barrier</v>
      </c>
      <c r="K212" s="24">
        <f>IF(J212="UNKNOWN","",INDEX(Items!$F$2:$F$500,MATCH(I212,Items!$H$2:$H$500,0)))</f>
        <v>2350</v>
      </c>
      <c r="L212" s="24">
        <f t="shared" si="22"/>
        <v>52903.91</v>
      </c>
      <c r="M212" s="28">
        <f t="shared" si="23"/>
        <v>23</v>
      </c>
      <c r="N212" s="31">
        <f t="shared" si="24"/>
        <v>2.1204255319148935E-2</v>
      </c>
      <c r="O212" s="24">
        <f>IF(J212="UNKNOWN","",INDEX(Cost_Rollup!$F$5:$F$16,MATCH(I212,Cost_Rollup!$A$5:$A$16,0)))</f>
        <v>1583.5454</v>
      </c>
      <c r="P212" s="24">
        <f t="shared" si="25"/>
        <v>36421.544199999997</v>
      </c>
      <c r="Q212" s="15" t="str">
        <f t="shared" si="26"/>
        <v/>
      </c>
      <c r="R212" s="15" t="str">
        <f t="shared" si="27"/>
        <v>OK</v>
      </c>
    </row>
    <row r="213" spans="1:18" x14ac:dyDescent="0.3">
      <c r="A213" s="12" t="s">
        <v>483</v>
      </c>
      <c r="B213" s="30">
        <v>45956</v>
      </c>
      <c r="C213" s="12" t="s">
        <v>276</v>
      </c>
      <c r="D213" s="12" t="s">
        <v>277</v>
      </c>
      <c r="E213" s="12" t="s">
        <v>70</v>
      </c>
      <c r="F213" s="12" t="s">
        <v>135</v>
      </c>
      <c r="G213" s="23">
        <v>291</v>
      </c>
      <c r="H213" s="22">
        <v>136.69999999999999</v>
      </c>
      <c r="I213" s="15" t="str">
        <f t="shared" si="21"/>
        <v>PC-HC-250</v>
      </c>
      <c r="J213" s="15" t="str">
        <f>IFERROR(INDEX(Items!$C$2:$C$500,MATCH(I213,Items!$H$2:$H$500,0)),"UNKNOWN")</f>
        <v>Slab</v>
      </c>
      <c r="K213" s="24">
        <f>IF(J213="UNKNOWN","",INDEX(Items!$F$2:$F$500,MATCH(I213,Items!$H$2:$H$500,0)))</f>
        <v>136</v>
      </c>
      <c r="L213" s="24">
        <f t="shared" si="22"/>
        <v>39779.699999999997</v>
      </c>
      <c r="M213" s="28">
        <f t="shared" si="23"/>
        <v>291</v>
      </c>
      <c r="N213" s="31">
        <f t="shared" si="24"/>
        <v>-5.1470588235293935E-3</v>
      </c>
      <c r="O213" s="24">
        <f>IF(J213="UNKNOWN","",INDEX(Cost_Rollup!$F$5:$F$16,MATCH(I213,Cost_Rollup!$A$5:$A$16,0)))</f>
        <v>92.940240000000003</v>
      </c>
      <c r="P213" s="24">
        <f t="shared" si="25"/>
        <v>27045.609840000001</v>
      </c>
      <c r="Q213" s="15" t="str">
        <f t="shared" si="26"/>
        <v/>
      </c>
      <c r="R213" s="15" t="str">
        <f t="shared" si="27"/>
        <v>OK</v>
      </c>
    </row>
    <row r="214" spans="1:18" x14ac:dyDescent="0.3">
      <c r="A214" s="12" t="s">
        <v>484</v>
      </c>
      <c r="B214" s="30">
        <v>45957</v>
      </c>
      <c r="C214" s="12" t="s">
        <v>265</v>
      </c>
      <c r="D214" s="12" t="s">
        <v>266</v>
      </c>
      <c r="E214" s="12" t="s">
        <v>70</v>
      </c>
      <c r="F214" s="12" t="s">
        <v>110</v>
      </c>
      <c r="G214" s="23">
        <v>30</v>
      </c>
      <c r="H214" s="22">
        <v>1713.94</v>
      </c>
      <c r="I214" s="15" t="str">
        <f t="shared" si="21"/>
        <v>PC-RCP-1200</v>
      </c>
      <c r="J214" s="15" t="str">
        <f>IFERROR(INDEX(Items!$C$2:$C$500,MATCH(I214,Items!$H$2:$H$500,0)),"UNKNOWN")</f>
        <v>Pipe</v>
      </c>
      <c r="K214" s="24">
        <f>IF(J214="UNKNOWN","",INDEX(Items!$F$2:$F$500,MATCH(I214,Items!$H$2:$H$500,0)))</f>
        <v>1890</v>
      </c>
      <c r="L214" s="24">
        <f t="shared" si="22"/>
        <v>51418.200000000004</v>
      </c>
      <c r="M214" s="28">
        <f t="shared" si="23"/>
        <v>30</v>
      </c>
      <c r="N214" s="31">
        <f t="shared" si="24"/>
        <v>9.3153439153439099E-2</v>
      </c>
      <c r="O214" s="24">
        <f>IF(J214="UNKNOWN","",INDEX(Cost_Rollup!$F$5:$F$16,MATCH(I214,Cost_Rollup!$A$5:$A$16,0)))</f>
        <v>1206.4054000000001</v>
      </c>
      <c r="P214" s="24">
        <f t="shared" si="25"/>
        <v>36192.162000000004</v>
      </c>
      <c r="Q214" s="15" t="str">
        <f t="shared" si="26"/>
        <v/>
      </c>
      <c r="R214" s="15" t="str">
        <f t="shared" si="27"/>
        <v>OK</v>
      </c>
    </row>
    <row r="215" spans="1:18" x14ac:dyDescent="0.3">
      <c r="A215" s="12" t="s">
        <v>485</v>
      </c>
      <c r="B215" s="30">
        <v>45957</v>
      </c>
      <c r="C215" s="12" t="s">
        <v>279</v>
      </c>
      <c r="D215" s="12" t="s">
        <v>280</v>
      </c>
      <c r="E215" s="12" t="s">
        <v>147</v>
      </c>
      <c r="F215" s="12" t="s">
        <v>129</v>
      </c>
      <c r="G215" s="23">
        <v>35</v>
      </c>
      <c r="H215" s="22">
        <v>2292.92</v>
      </c>
      <c r="I215" s="15" t="str">
        <f t="shared" si="21"/>
        <v>PC-BAR-SS60</v>
      </c>
      <c r="J215" s="15" t="str">
        <f>IFERROR(INDEX(Items!$C$2:$C$500,MATCH(I215,Items!$H$2:$H$500,0)),"UNKNOWN")</f>
        <v>Barrier</v>
      </c>
      <c r="K215" s="24">
        <f>IF(J215="UNKNOWN","",INDEX(Items!$F$2:$F$500,MATCH(I215,Items!$H$2:$H$500,0)))</f>
        <v>2350</v>
      </c>
      <c r="L215" s="24">
        <f t="shared" si="22"/>
        <v>80252.2</v>
      </c>
      <c r="M215" s="28">
        <f t="shared" si="23"/>
        <v>35</v>
      </c>
      <c r="N215" s="31">
        <f t="shared" si="24"/>
        <v>2.4289361702127588E-2</v>
      </c>
      <c r="O215" s="24">
        <f>IF(J215="UNKNOWN","",INDEX(Cost_Rollup!$F$5:$F$16,MATCH(I215,Cost_Rollup!$A$5:$A$16,0)))</f>
        <v>1583.5454</v>
      </c>
      <c r="P215" s="24">
        <f t="shared" si="25"/>
        <v>55424.089</v>
      </c>
      <c r="Q215" s="15" t="str">
        <f t="shared" si="26"/>
        <v/>
      </c>
      <c r="R215" s="15" t="str">
        <f t="shared" si="27"/>
        <v>OK</v>
      </c>
    </row>
    <row r="216" spans="1:18" x14ac:dyDescent="0.3">
      <c r="A216" s="12" t="s">
        <v>486</v>
      </c>
      <c r="B216" s="30">
        <v>45959</v>
      </c>
      <c r="C216" s="12" t="s">
        <v>292</v>
      </c>
      <c r="D216" s="12" t="s">
        <v>277</v>
      </c>
      <c r="E216" s="12" t="s">
        <v>70</v>
      </c>
      <c r="F216" s="12" t="s">
        <v>118</v>
      </c>
      <c r="G216" s="23">
        <v>7</v>
      </c>
      <c r="H216" s="22">
        <v>1182.68</v>
      </c>
      <c r="I216" s="15" t="str">
        <f t="shared" si="21"/>
        <v>PC-MH-1200B</v>
      </c>
      <c r="J216" s="15" t="str">
        <f>IFERROR(INDEX(Items!$C$2:$C$500,MATCH(I216,Items!$H$2:$H$500,0)),"UNKNOWN")</f>
        <v>Manhole</v>
      </c>
      <c r="K216" s="24">
        <f>IF(J216="UNKNOWN","",INDEX(Items!$F$2:$F$500,MATCH(I216,Items!$H$2:$H$500,0)))</f>
        <v>1240</v>
      </c>
      <c r="L216" s="24">
        <f t="shared" si="22"/>
        <v>8278.76</v>
      </c>
      <c r="M216" s="28">
        <f t="shared" si="23"/>
        <v>7</v>
      </c>
      <c r="N216" s="31">
        <f t="shared" si="24"/>
        <v>4.6225806451612894E-2</v>
      </c>
      <c r="O216" s="24">
        <f>IF(J216="UNKNOWN","",INDEX(Cost_Rollup!$F$5:$F$16,MATCH(I216,Cost_Rollup!$A$5:$A$16,0)))</f>
        <v>753.42079999999999</v>
      </c>
      <c r="P216" s="24">
        <f t="shared" si="25"/>
        <v>5273.9456</v>
      </c>
      <c r="Q216" s="15" t="str">
        <f t="shared" si="26"/>
        <v/>
      </c>
      <c r="R216" s="15" t="str">
        <f t="shared" si="27"/>
        <v>OK</v>
      </c>
    </row>
    <row r="217" spans="1:18" x14ac:dyDescent="0.3">
      <c r="A217" s="12" t="s">
        <v>487</v>
      </c>
      <c r="B217" s="30">
        <v>45959</v>
      </c>
      <c r="C217" s="12" t="s">
        <v>285</v>
      </c>
      <c r="D217" s="12" t="s">
        <v>266</v>
      </c>
      <c r="E217" s="12" t="s">
        <v>70</v>
      </c>
      <c r="F217" s="12" t="s">
        <v>120</v>
      </c>
      <c r="G217" s="23">
        <v>8</v>
      </c>
      <c r="H217" s="22">
        <v>529.98</v>
      </c>
      <c r="I217" s="15" t="str">
        <f t="shared" si="21"/>
        <v>PC-MH-1200R</v>
      </c>
      <c r="J217" s="15" t="str">
        <f>IFERROR(INDEX(Items!$C$2:$C$500,MATCH(I217,Items!$H$2:$H$500,0)),"UNKNOWN")</f>
        <v>Manhole</v>
      </c>
      <c r="K217" s="24">
        <f>IF(J217="UNKNOWN","",INDEX(Items!$F$2:$F$500,MATCH(I217,Items!$H$2:$H$500,0)))</f>
        <v>520</v>
      </c>
      <c r="L217" s="24">
        <f t="shared" si="22"/>
        <v>4239.84</v>
      </c>
      <c r="M217" s="28">
        <f t="shared" si="23"/>
        <v>8</v>
      </c>
      <c r="N217" s="31">
        <f t="shared" si="24"/>
        <v>-1.9192307692307731E-2</v>
      </c>
      <c r="O217" s="24">
        <f>IF(J217="UNKNOWN","",INDEX(Cost_Rollup!$F$5:$F$16,MATCH(I217,Cost_Rollup!$A$5:$A$16,0)))</f>
        <v>381.98428000000001</v>
      </c>
      <c r="P217" s="24">
        <f t="shared" si="25"/>
        <v>3055.8742400000001</v>
      </c>
      <c r="Q217" s="15" t="str">
        <f t="shared" si="26"/>
        <v/>
      </c>
      <c r="R217" s="15" t="str">
        <f t="shared" si="27"/>
        <v>OK</v>
      </c>
    </row>
    <row r="218" spans="1:18" x14ac:dyDescent="0.3">
      <c r="A218" s="12" t="s">
        <v>488</v>
      </c>
      <c r="B218" s="30">
        <v>45959</v>
      </c>
      <c r="C218" s="12" t="s">
        <v>268</v>
      </c>
      <c r="D218" s="12" t="s">
        <v>269</v>
      </c>
      <c r="E218" s="12" t="s">
        <v>70</v>
      </c>
      <c r="F218" s="12" t="s">
        <v>112</v>
      </c>
      <c r="G218" s="23">
        <v>10</v>
      </c>
      <c r="H218" s="22">
        <v>3886.59</v>
      </c>
      <c r="I218" s="15" t="str">
        <f t="shared" si="21"/>
        <v>PC-BOX-1812</v>
      </c>
      <c r="J218" s="15" t="str">
        <f>IFERROR(INDEX(Items!$C$2:$C$500,MATCH(I218,Items!$H$2:$H$500,0)),"UNKNOWN")</f>
        <v>Box Culvert</v>
      </c>
      <c r="K218" s="24">
        <f>IF(J218="UNKNOWN","",INDEX(Items!$F$2:$F$500,MATCH(I218,Items!$H$2:$H$500,0)))</f>
        <v>4200</v>
      </c>
      <c r="L218" s="24">
        <f t="shared" si="22"/>
        <v>38865.9</v>
      </c>
      <c r="M218" s="28">
        <f t="shared" si="23"/>
        <v>10</v>
      </c>
      <c r="N218" s="31">
        <f t="shared" si="24"/>
        <v>7.4621428571428505E-2</v>
      </c>
      <c r="O218" s="24">
        <f>IF(J218="UNKNOWN","",INDEX(Cost_Rollup!$F$5:$F$16,MATCH(I218,Cost_Rollup!$A$5:$A$16,0)))</f>
        <v>2795.3624</v>
      </c>
      <c r="P218" s="24">
        <f t="shared" si="25"/>
        <v>27953.624</v>
      </c>
      <c r="Q218" s="15" t="str">
        <f t="shared" si="26"/>
        <v/>
      </c>
      <c r="R218" s="15" t="str">
        <f t="shared" si="27"/>
        <v>OK</v>
      </c>
    </row>
    <row r="219" spans="1:18" x14ac:dyDescent="0.3">
      <c r="A219" s="12" t="s">
        <v>489</v>
      </c>
      <c r="B219" s="30">
        <v>45962</v>
      </c>
      <c r="C219" s="12" t="s">
        <v>276</v>
      </c>
      <c r="D219" s="12" t="s">
        <v>277</v>
      </c>
      <c r="E219" s="12" t="s">
        <v>70</v>
      </c>
      <c r="F219" s="12" t="s">
        <v>122</v>
      </c>
      <c r="G219" s="23">
        <v>3</v>
      </c>
      <c r="H219" s="22">
        <v>662.1</v>
      </c>
      <c r="I219" s="15" t="str">
        <f t="shared" si="21"/>
        <v>PC-CB-0600</v>
      </c>
      <c r="J219" s="15" t="str">
        <f>IFERROR(INDEX(Items!$C$2:$C$500,MATCH(I219,Items!$H$2:$H$500,0)),"UNKNOWN")</f>
        <v>Catch Basin</v>
      </c>
      <c r="K219" s="24">
        <f>IF(J219="UNKNOWN","",INDEX(Items!$F$2:$F$500,MATCH(I219,Items!$H$2:$H$500,0)))</f>
        <v>690</v>
      </c>
      <c r="L219" s="24">
        <f t="shared" si="22"/>
        <v>1986.3000000000002</v>
      </c>
      <c r="M219" s="28">
        <f t="shared" si="23"/>
        <v>3</v>
      </c>
      <c r="N219" s="31">
        <f t="shared" si="24"/>
        <v>4.0434782608695596E-2</v>
      </c>
      <c r="O219" s="24">
        <f>IF(J219="UNKNOWN","",INDEX(Cost_Rollup!$F$5:$F$16,MATCH(I219,Cost_Rollup!$A$5:$A$16,0)))</f>
        <v>471.04880000000003</v>
      </c>
      <c r="P219" s="24">
        <f t="shared" si="25"/>
        <v>1413.1464000000001</v>
      </c>
      <c r="Q219" s="15" t="str">
        <f t="shared" si="26"/>
        <v/>
      </c>
      <c r="R219" s="15" t="str">
        <f t="shared" si="27"/>
        <v>OK</v>
      </c>
    </row>
    <row r="220" spans="1:18" x14ac:dyDescent="0.3">
      <c r="A220" s="12" t="s">
        <v>490</v>
      </c>
      <c r="B220" s="30">
        <v>45963</v>
      </c>
      <c r="C220" s="12" t="s">
        <v>279</v>
      </c>
      <c r="D220" s="12" t="s">
        <v>280</v>
      </c>
      <c r="E220" s="12" t="s">
        <v>147</v>
      </c>
      <c r="F220" s="12" t="s">
        <v>112</v>
      </c>
      <c r="G220" s="23">
        <v>2</v>
      </c>
      <c r="H220" s="22">
        <v>4141.1499999999996</v>
      </c>
      <c r="I220" s="15" t="str">
        <f t="shared" si="21"/>
        <v>PC-BOX-1812</v>
      </c>
      <c r="J220" s="15" t="str">
        <f>IFERROR(INDEX(Items!$C$2:$C$500,MATCH(I220,Items!$H$2:$H$500,0)),"UNKNOWN")</f>
        <v>Box Culvert</v>
      </c>
      <c r="K220" s="24">
        <f>IF(J220="UNKNOWN","",INDEX(Items!$F$2:$F$500,MATCH(I220,Items!$H$2:$H$500,0)))</f>
        <v>4200</v>
      </c>
      <c r="L220" s="24">
        <f t="shared" si="22"/>
        <v>8282.2999999999993</v>
      </c>
      <c r="M220" s="28">
        <f t="shared" si="23"/>
        <v>2</v>
      </c>
      <c r="N220" s="31">
        <f t="shared" si="24"/>
        <v>1.4011904761904836E-2</v>
      </c>
      <c r="O220" s="24">
        <f>IF(J220="UNKNOWN","",INDEX(Cost_Rollup!$F$5:$F$16,MATCH(I220,Cost_Rollup!$A$5:$A$16,0)))</f>
        <v>2795.3624</v>
      </c>
      <c r="P220" s="24">
        <f t="shared" si="25"/>
        <v>5590.7248</v>
      </c>
      <c r="Q220" s="15" t="str">
        <f t="shared" si="26"/>
        <v/>
      </c>
      <c r="R220" s="15" t="str">
        <f t="shared" si="27"/>
        <v>OK</v>
      </c>
    </row>
    <row r="221" spans="1:18" x14ac:dyDescent="0.3">
      <c r="A221" s="12" t="s">
        <v>491</v>
      </c>
      <c r="B221" s="30">
        <v>45963</v>
      </c>
      <c r="C221" s="12" t="s">
        <v>268</v>
      </c>
      <c r="D221" s="12" t="s">
        <v>269</v>
      </c>
      <c r="E221" s="12" t="s">
        <v>70</v>
      </c>
      <c r="F221" s="12" t="s">
        <v>118</v>
      </c>
      <c r="G221" s="23">
        <v>1</v>
      </c>
      <c r="H221" s="22">
        <v>1144.44</v>
      </c>
      <c r="I221" s="15" t="str">
        <f t="shared" si="21"/>
        <v>PC-MH-1200B</v>
      </c>
      <c r="J221" s="15" t="str">
        <f>IFERROR(INDEX(Items!$C$2:$C$500,MATCH(I221,Items!$H$2:$H$500,0)),"UNKNOWN")</f>
        <v>Manhole</v>
      </c>
      <c r="K221" s="24">
        <f>IF(J221="UNKNOWN","",INDEX(Items!$F$2:$F$500,MATCH(I221,Items!$H$2:$H$500,0)))</f>
        <v>1240</v>
      </c>
      <c r="L221" s="24">
        <f t="shared" si="22"/>
        <v>1144.44</v>
      </c>
      <c r="M221" s="28">
        <f t="shared" si="23"/>
        <v>1</v>
      </c>
      <c r="N221" s="31">
        <f t="shared" si="24"/>
        <v>7.7064516129032201E-2</v>
      </c>
      <c r="O221" s="24">
        <f>IF(J221="UNKNOWN","",INDEX(Cost_Rollup!$F$5:$F$16,MATCH(I221,Cost_Rollup!$A$5:$A$16,0)))</f>
        <v>753.42079999999999</v>
      </c>
      <c r="P221" s="24">
        <f t="shared" si="25"/>
        <v>753.42079999999999</v>
      </c>
      <c r="Q221" s="15" t="str">
        <f t="shared" si="26"/>
        <v/>
      </c>
      <c r="R221" s="15" t="str">
        <f t="shared" si="27"/>
        <v>OK</v>
      </c>
    </row>
    <row r="222" spans="1:18" x14ac:dyDescent="0.3">
      <c r="A222" s="12" t="s">
        <v>492</v>
      </c>
      <c r="B222" s="30">
        <v>45965</v>
      </c>
      <c r="C222" s="12" t="s">
        <v>273</v>
      </c>
      <c r="D222" s="12" t="s">
        <v>274</v>
      </c>
      <c r="E222" s="12" t="s">
        <v>147</v>
      </c>
      <c r="F222" s="12" t="s">
        <v>122</v>
      </c>
      <c r="G222" s="23">
        <v>10</v>
      </c>
      <c r="H222" s="22">
        <v>622.58000000000004</v>
      </c>
      <c r="I222" s="15" t="str">
        <f t="shared" si="21"/>
        <v>PC-CB-0600</v>
      </c>
      <c r="J222" s="15" t="str">
        <f>IFERROR(INDEX(Items!$C$2:$C$500,MATCH(I222,Items!$H$2:$H$500,0)),"UNKNOWN")</f>
        <v>Catch Basin</v>
      </c>
      <c r="K222" s="24">
        <f>IF(J222="UNKNOWN","",INDEX(Items!$F$2:$F$500,MATCH(I222,Items!$H$2:$H$500,0)))</f>
        <v>690</v>
      </c>
      <c r="L222" s="24">
        <f t="shared" si="22"/>
        <v>6225.8</v>
      </c>
      <c r="M222" s="28">
        <f t="shared" si="23"/>
        <v>10</v>
      </c>
      <c r="N222" s="31">
        <f t="shared" si="24"/>
        <v>9.7710144927536158E-2</v>
      </c>
      <c r="O222" s="24">
        <f>IF(J222="UNKNOWN","",INDEX(Cost_Rollup!$F$5:$F$16,MATCH(I222,Cost_Rollup!$A$5:$A$16,0)))</f>
        <v>471.04880000000003</v>
      </c>
      <c r="P222" s="24">
        <f t="shared" si="25"/>
        <v>4710.4880000000003</v>
      </c>
      <c r="Q222" s="15" t="str">
        <f t="shared" si="26"/>
        <v/>
      </c>
      <c r="R222" s="15" t="str">
        <f t="shared" si="27"/>
        <v>OK</v>
      </c>
    </row>
    <row r="223" spans="1:18" x14ac:dyDescent="0.3">
      <c r="A223" s="12" t="s">
        <v>493</v>
      </c>
      <c r="B223" s="30">
        <v>45965</v>
      </c>
      <c r="C223" s="12" t="s">
        <v>263</v>
      </c>
      <c r="D223" s="12" t="s">
        <v>258</v>
      </c>
      <c r="E223" s="12" t="s">
        <v>70</v>
      </c>
      <c r="F223" s="12" t="s">
        <v>131</v>
      </c>
      <c r="G223" s="23">
        <v>169</v>
      </c>
      <c r="H223" s="22">
        <v>110.13</v>
      </c>
      <c r="I223" s="15" t="str">
        <f t="shared" si="21"/>
        <v>PC-HC-200</v>
      </c>
      <c r="J223" s="15" t="str">
        <f>IFERROR(INDEX(Items!$C$2:$C$500,MATCH(I223,Items!$H$2:$H$500,0)),"UNKNOWN")</f>
        <v>Slab</v>
      </c>
      <c r="K223" s="24">
        <f>IF(J223="UNKNOWN","",INDEX(Items!$F$2:$F$500,MATCH(I223,Items!$H$2:$H$500,0)))</f>
        <v>118</v>
      </c>
      <c r="L223" s="24">
        <f t="shared" si="22"/>
        <v>18611.969999999998</v>
      </c>
      <c r="M223" s="28">
        <f t="shared" si="23"/>
        <v>169</v>
      </c>
      <c r="N223" s="31">
        <f t="shared" si="24"/>
        <v>6.6694915254237319E-2</v>
      </c>
      <c r="O223" s="24">
        <f>IF(J223="UNKNOWN","",INDEX(Cost_Rollup!$F$5:$F$16,MATCH(I223,Cost_Rollup!$A$5:$A$16,0)))</f>
        <v>78.893820000000005</v>
      </c>
      <c r="P223" s="24">
        <f t="shared" si="25"/>
        <v>13333.05558</v>
      </c>
      <c r="Q223" s="15" t="str">
        <f t="shared" si="26"/>
        <v/>
      </c>
      <c r="R223" s="15" t="str">
        <f t="shared" si="27"/>
        <v>OK</v>
      </c>
    </row>
    <row r="224" spans="1:18" x14ac:dyDescent="0.3">
      <c r="A224" s="12" t="s">
        <v>494</v>
      </c>
      <c r="B224" s="30">
        <v>45966</v>
      </c>
      <c r="C224" s="12" t="s">
        <v>260</v>
      </c>
      <c r="D224" s="12" t="s">
        <v>258</v>
      </c>
      <c r="E224" s="12" t="s">
        <v>70</v>
      </c>
      <c r="F224" s="12" t="s">
        <v>110</v>
      </c>
      <c r="G224" s="23">
        <v>21</v>
      </c>
      <c r="H224" s="22">
        <v>1711.06</v>
      </c>
      <c r="I224" s="15" t="str">
        <f t="shared" si="21"/>
        <v>PC-RCP-1200</v>
      </c>
      <c r="J224" s="15" t="str">
        <f>IFERROR(INDEX(Items!$C$2:$C$500,MATCH(I224,Items!$H$2:$H$500,0)),"UNKNOWN")</f>
        <v>Pipe</v>
      </c>
      <c r="K224" s="24">
        <f>IF(J224="UNKNOWN","",INDEX(Items!$F$2:$F$500,MATCH(I224,Items!$H$2:$H$500,0)))</f>
        <v>1890</v>
      </c>
      <c r="L224" s="24">
        <f t="shared" si="22"/>
        <v>35932.26</v>
      </c>
      <c r="M224" s="28">
        <f t="shared" si="23"/>
        <v>21</v>
      </c>
      <c r="N224" s="31">
        <f t="shared" si="24"/>
        <v>9.4677248677248693E-2</v>
      </c>
      <c r="O224" s="24">
        <f>IF(J224="UNKNOWN","",INDEX(Cost_Rollup!$F$5:$F$16,MATCH(I224,Cost_Rollup!$A$5:$A$16,0)))</f>
        <v>1206.4054000000001</v>
      </c>
      <c r="P224" s="24">
        <f t="shared" si="25"/>
        <v>25334.513400000003</v>
      </c>
      <c r="Q224" s="15" t="str">
        <f t="shared" si="26"/>
        <v/>
      </c>
      <c r="R224" s="15" t="str">
        <f t="shared" si="27"/>
        <v>OK</v>
      </c>
    </row>
    <row r="225" spans="1:18" x14ac:dyDescent="0.3">
      <c r="A225" s="12" t="s">
        <v>495</v>
      </c>
      <c r="B225" s="30">
        <v>45966</v>
      </c>
      <c r="C225" s="12" t="s">
        <v>265</v>
      </c>
      <c r="D225" s="12" t="s">
        <v>266</v>
      </c>
      <c r="E225" s="12" t="s">
        <v>70</v>
      </c>
      <c r="F225" s="12" t="s">
        <v>110</v>
      </c>
      <c r="G225" s="23">
        <v>13</v>
      </c>
      <c r="H225" s="22">
        <v>1779.13</v>
      </c>
      <c r="I225" s="15" t="str">
        <f t="shared" si="21"/>
        <v>PC-RCP-1200</v>
      </c>
      <c r="J225" s="15" t="str">
        <f>IFERROR(INDEX(Items!$C$2:$C$500,MATCH(I225,Items!$H$2:$H$500,0)),"UNKNOWN")</f>
        <v>Pipe</v>
      </c>
      <c r="K225" s="24">
        <f>IF(J225="UNKNOWN","",INDEX(Items!$F$2:$F$500,MATCH(I225,Items!$H$2:$H$500,0)))</f>
        <v>1890</v>
      </c>
      <c r="L225" s="24">
        <f t="shared" si="22"/>
        <v>23128.690000000002</v>
      </c>
      <c r="M225" s="28">
        <f t="shared" si="23"/>
        <v>13</v>
      </c>
      <c r="N225" s="31">
        <f t="shared" si="24"/>
        <v>5.8661375661375637E-2</v>
      </c>
      <c r="O225" s="24">
        <f>IF(J225="UNKNOWN","",INDEX(Cost_Rollup!$F$5:$F$16,MATCH(I225,Cost_Rollup!$A$5:$A$16,0)))</f>
        <v>1206.4054000000001</v>
      </c>
      <c r="P225" s="24">
        <f t="shared" si="25"/>
        <v>15683.270200000001</v>
      </c>
      <c r="Q225" s="15" t="str">
        <f t="shared" si="26"/>
        <v/>
      </c>
      <c r="R225" s="15" t="str">
        <f t="shared" si="27"/>
        <v>OK</v>
      </c>
    </row>
    <row r="226" spans="1:18" x14ac:dyDescent="0.3">
      <c r="A226" s="12" t="s">
        <v>496</v>
      </c>
      <c r="B226" s="30">
        <v>45966</v>
      </c>
      <c r="C226" s="12" t="s">
        <v>263</v>
      </c>
      <c r="D226" s="12" t="s">
        <v>258</v>
      </c>
      <c r="E226" s="12" t="s">
        <v>70</v>
      </c>
      <c r="F226" s="12" t="s">
        <v>135</v>
      </c>
      <c r="G226" s="23">
        <v>383</v>
      </c>
      <c r="H226" s="22">
        <v>133.07</v>
      </c>
      <c r="I226" s="15" t="str">
        <f t="shared" si="21"/>
        <v>PC-HC-250</v>
      </c>
      <c r="J226" s="15" t="str">
        <f>IFERROR(INDEX(Items!$C$2:$C$500,MATCH(I226,Items!$H$2:$H$500,0)),"UNKNOWN")</f>
        <v>Slab</v>
      </c>
      <c r="K226" s="24">
        <f>IF(J226="UNKNOWN","",INDEX(Items!$F$2:$F$500,MATCH(I226,Items!$H$2:$H$500,0)))</f>
        <v>136</v>
      </c>
      <c r="L226" s="24">
        <f t="shared" si="22"/>
        <v>50965.81</v>
      </c>
      <c r="M226" s="28">
        <f t="shared" si="23"/>
        <v>383</v>
      </c>
      <c r="N226" s="31">
        <f t="shared" si="24"/>
        <v>2.154411764705888E-2</v>
      </c>
      <c r="O226" s="24">
        <f>IF(J226="UNKNOWN","",INDEX(Cost_Rollup!$F$5:$F$16,MATCH(I226,Cost_Rollup!$A$5:$A$16,0)))</f>
        <v>92.940240000000003</v>
      </c>
      <c r="P226" s="24">
        <f t="shared" si="25"/>
        <v>35596.111920000003</v>
      </c>
      <c r="Q226" s="15" t="str">
        <f t="shared" si="26"/>
        <v/>
      </c>
      <c r="R226" s="15" t="str">
        <f t="shared" si="27"/>
        <v>OK</v>
      </c>
    </row>
    <row r="227" spans="1:18" x14ac:dyDescent="0.3">
      <c r="A227" s="12" t="s">
        <v>497</v>
      </c>
      <c r="B227" s="30">
        <v>45969</v>
      </c>
      <c r="C227" s="12" t="s">
        <v>276</v>
      </c>
      <c r="D227" s="12" t="s">
        <v>277</v>
      </c>
      <c r="E227" s="12" t="s">
        <v>70</v>
      </c>
      <c r="F227" s="12" t="s">
        <v>115</v>
      </c>
      <c r="G227" s="23">
        <v>2</v>
      </c>
      <c r="H227" s="22">
        <v>939.32</v>
      </c>
      <c r="I227" s="15" t="str">
        <f t="shared" si="21"/>
        <v>PC-MH-1050B</v>
      </c>
      <c r="J227" s="15" t="str">
        <f>IFERROR(INDEX(Items!$C$2:$C$500,MATCH(I227,Items!$H$2:$H$500,0)),"UNKNOWN")</f>
        <v>Manhole</v>
      </c>
      <c r="K227" s="24">
        <f>IF(J227="UNKNOWN","",INDEX(Items!$F$2:$F$500,MATCH(I227,Items!$H$2:$H$500,0)))</f>
        <v>980</v>
      </c>
      <c r="L227" s="24">
        <f t="shared" si="22"/>
        <v>1878.64</v>
      </c>
      <c r="M227" s="28">
        <f t="shared" si="23"/>
        <v>2</v>
      </c>
      <c r="N227" s="31">
        <f t="shared" si="24"/>
        <v>4.151020408163264E-2</v>
      </c>
      <c r="O227" s="24">
        <f>IF(J227="UNKNOWN","",INDEX(Cost_Rollup!$F$5:$F$16,MATCH(I227,Cost_Rollup!$A$5:$A$16,0)))</f>
        <v>635.43299999999999</v>
      </c>
      <c r="P227" s="24">
        <f t="shared" si="25"/>
        <v>1270.866</v>
      </c>
      <c r="Q227" s="15" t="str">
        <f t="shared" si="26"/>
        <v/>
      </c>
      <c r="R227" s="15" t="str">
        <f t="shared" si="27"/>
        <v>OK</v>
      </c>
    </row>
    <row r="228" spans="1:18" x14ac:dyDescent="0.3">
      <c r="A228" s="12" t="s">
        <v>498</v>
      </c>
      <c r="B228" s="30">
        <v>45970</v>
      </c>
      <c r="C228" s="12" t="s">
        <v>279</v>
      </c>
      <c r="D228" s="12" t="s">
        <v>280</v>
      </c>
      <c r="E228" s="12" t="s">
        <v>147</v>
      </c>
      <c r="F228" s="12" t="s">
        <v>120</v>
      </c>
      <c r="G228" s="23">
        <v>5</v>
      </c>
      <c r="H228" s="22">
        <v>529.48</v>
      </c>
      <c r="I228" s="15" t="str">
        <f t="shared" si="21"/>
        <v>PC-MH-1200R</v>
      </c>
      <c r="J228" s="15" t="str">
        <f>IFERROR(INDEX(Items!$C$2:$C$500,MATCH(I228,Items!$H$2:$H$500,0)),"UNKNOWN")</f>
        <v>Manhole</v>
      </c>
      <c r="K228" s="24">
        <f>IF(J228="UNKNOWN","",INDEX(Items!$F$2:$F$500,MATCH(I228,Items!$H$2:$H$500,0)))</f>
        <v>520</v>
      </c>
      <c r="L228" s="24">
        <f t="shared" si="22"/>
        <v>2647.4</v>
      </c>
      <c r="M228" s="28">
        <f t="shared" si="23"/>
        <v>5</v>
      </c>
      <c r="N228" s="31">
        <f t="shared" si="24"/>
        <v>-1.8230769230769273E-2</v>
      </c>
      <c r="O228" s="24">
        <f>IF(J228="UNKNOWN","",INDEX(Cost_Rollup!$F$5:$F$16,MATCH(I228,Cost_Rollup!$A$5:$A$16,0)))</f>
        <v>381.98428000000001</v>
      </c>
      <c r="P228" s="24">
        <f t="shared" si="25"/>
        <v>1909.9214000000002</v>
      </c>
      <c r="Q228" s="15" t="str">
        <f t="shared" si="26"/>
        <v/>
      </c>
      <c r="R228" s="15" t="str">
        <f t="shared" si="27"/>
        <v>OK</v>
      </c>
    </row>
    <row r="229" spans="1:18" x14ac:dyDescent="0.3">
      <c r="A229" s="12" t="s">
        <v>499</v>
      </c>
      <c r="B229" s="30">
        <v>45970</v>
      </c>
      <c r="C229" s="12" t="s">
        <v>257</v>
      </c>
      <c r="D229" s="12" t="s">
        <v>258</v>
      </c>
      <c r="E229" s="12" t="s">
        <v>70</v>
      </c>
      <c r="F229" s="12" t="s">
        <v>131</v>
      </c>
      <c r="G229" s="23">
        <v>304</v>
      </c>
      <c r="H229" s="22">
        <v>122.61</v>
      </c>
      <c r="I229" s="15" t="str">
        <f t="shared" si="21"/>
        <v>PC-HC-200</v>
      </c>
      <c r="J229" s="15" t="str">
        <f>IFERROR(INDEX(Items!$C$2:$C$500,MATCH(I229,Items!$H$2:$H$500,0)),"UNKNOWN")</f>
        <v>Slab</v>
      </c>
      <c r="K229" s="24">
        <f>IF(J229="UNKNOWN","",INDEX(Items!$F$2:$F$500,MATCH(I229,Items!$H$2:$H$500,0)))</f>
        <v>118</v>
      </c>
      <c r="L229" s="24">
        <f t="shared" si="22"/>
        <v>37273.440000000002</v>
      </c>
      <c r="M229" s="28">
        <f t="shared" si="23"/>
        <v>304</v>
      </c>
      <c r="N229" s="31">
        <f t="shared" si="24"/>
        <v>-3.906779661016957E-2</v>
      </c>
      <c r="O229" s="24">
        <f>IF(J229="UNKNOWN","",INDEX(Cost_Rollup!$F$5:$F$16,MATCH(I229,Cost_Rollup!$A$5:$A$16,0)))</f>
        <v>78.893820000000005</v>
      </c>
      <c r="P229" s="24">
        <f t="shared" si="25"/>
        <v>23983.721280000002</v>
      </c>
      <c r="Q229" s="15" t="str">
        <f t="shared" si="26"/>
        <v/>
      </c>
      <c r="R229" s="15" t="str">
        <f t="shared" si="27"/>
        <v>OK</v>
      </c>
    </row>
    <row r="230" spans="1:18" x14ac:dyDescent="0.3">
      <c r="A230" s="12" t="s">
        <v>500</v>
      </c>
      <c r="B230" s="30">
        <v>45973</v>
      </c>
      <c r="C230" s="12" t="s">
        <v>285</v>
      </c>
      <c r="D230" s="12" t="s">
        <v>266</v>
      </c>
      <c r="E230" s="12" t="s">
        <v>70</v>
      </c>
      <c r="F230" s="12" t="s">
        <v>103</v>
      </c>
      <c r="G230" s="23">
        <v>16</v>
      </c>
      <c r="H230" s="22">
        <v>604.32000000000005</v>
      </c>
      <c r="I230" s="15" t="str">
        <f t="shared" si="21"/>
        <v>PC-RCP-0600</v>
      </c>
      <c r="J230" s="15" t="str">
        <f>IFERROR(INDEX(Items!$C$2:$C$500,MATCH(I230,Items!$H$2:$H$500,0)),"UNKNOWN")</f>
        <v>Pipe</v>
      </c>
      <c r="K230" s="24">
        <f>IF(J230="UNKNOWN","",INDEX(Items!$F$2:$F$500,MATCH(I230,Items!$H$2:$H$500,0)))</f>
        <v>640</v>
      </c>
      <c r="L230" s="24">
        <f t="shared" si="22"/>
        <v>9669.1200000000008</v>
      </c>
      <c r="M230" s="28">
        <f t="shared" si="23"/>
        <v>16</v>
      </c>
      <c r="N230" s="31">
        <f t="shared" si="24"/>
        <v>5.5749999999999966E-2</v>
      </c>
      <c r="O230" s="24">
        <f>IF(J230="UNKNOWN","",INDEX(Cost_Rollup!$F$5:$F$16,MATCH(I230,Cost_Rollup!$A$5:$A$16,0)))</f>
        <v>429.94831999999997</v>
      </c>
      <c r="P230" s="24">
        <f t="shared" si="25"/>
        <v>6879.1731199999995</v>
      </c>
      <c r="Q230" s="15" t="str">
        <f t="shared" si="26"/>
        <v/>
      </c>
      <c r="R230" s="15" t="str">
        <f t="shared" si="27"/>
        <v>OK</v>
      </c>
    </row>
    <row r="231" spans="1:18" x14ac:dyDescent="0.3">
      <c r="A231" s="12" t="s">
        <v>501</v>
      </c>
      <c r="B231" s="30">
        <v>45979</v>
      </c>
      <c r="C231" s="12" t="s">
        <v>263</v>
      </c>
      <c r="D231" s="12" t="s">
        <v>258</v>
      </c>
      <c r="E231" s="12" t="s">
        <v>70</v>
      </c>
      <c r="F231" s="12" t="s">
        <v>122</v>
      </c>
      <c r="G231" s="23">
        <v>6</v>
      </c>
      <c r="H231" s="22">
        <v>627.89</v>
      </c>
      <c r="I231" s="15" t="str">
        <f t="shared" si="21"/>
        <v>PC-CB-0600</v>
      </c>
      <c r="J231" s="15" t="str">
        <f>IFERROR(INDEX(Items!$C$2:$C$500,MATCH(I231,Items!$H$2:$H$500,0)),"UNKNOWN")</f>
        <v>Catch Basin</v>
      </c>
      <c r="K231" s="24">
        <f>IF(J231="UNKNOWN","",INDEX(Items!$F$2:$F$500,MATCH(I231,Items!$H$2:$H$500,0)))</f>
        <v>690</v>
      </c>
      <c r="L231" s="24">
        <f t="shared" si="22"/>
        <v>3767.34</v>
      </c>
      <c r="M231" s="28">
        <f t="shared" si="23"/>
        <v>6</v>
      </c>
      <c r="N231" s="31">
        <f t="shared" si="24"/>
        <v>9.0014492753623165E-2</v>
      </c>
      <c r="O231" s="24">
        <f>IF(J231="UNKNOWN","",INDEX(Cost_Rollup!$F$5:$F$16,MATCH(I231,Cost_Rollup!$A$5:$A$16,0)))</f>
        <v>471.04880000000003</v>
      </c>
      <c r="P231" s="24">
        <f t="shared" si="25"/>
        <v>2826.2928000000002</v>
      </c>
      <c r="Q231" s="15" t="str">
        <f t="shared" si="26"/>
        <v/>
      </c>
      <c r="R231" s="15" t="str">
        <f t="shared" si="27"/>
        <v>OK</v>
      </c>
    </row>
    <row r="232" spans="1:18" x14ac:dyDescent="0.3">
      <c r="A232" s="12" t="s">
        <v>502</v>
      </c>
      <c r="B232" s="30">
        <v>45979</v>
      </c>
      <c r="C232" s="12" t="s">
        <v>273</v>
      </c>
      <c r="D232" s="12" t="s">
        <v>274</v>
      </c>
      <c r="E232" s="12" t="s">
        <v>147</v>
      </c>
      <c r="F232" s="12" t="s">
        <v>122</v>
      </c>
      <c r="G232" s="23">
        <v>4</v>
      </c>
      <c r="H232" s="22">
        <v>663.06</v>
      </c>
      <c r="I232" s="15" t="str">
        <f t="shared" si="21"/>
        <v>PC-CB-0600</v>
      </c>
      <c r="J232" s="15" t="str">
        <f>IFERROR(INDEX(Items!$C$2:$C$500,MATCH(I232,Items!$H$2:$H$500,0)),"UNKNOWN")</f>
        <v>Catch Basin</v>
      </c>
      <c r="K232" s="24">
        <f>IF(J232="UNKNOWN","",INDEX(Items!$F$2:$F$500,MATCH(I232,Items!$H$2:$H$500,0)))</f>
        <v>690</v>
      </c>
      <c r="L232" s="24">
        <f t="shared" si="22"/>
        <v>2652.24</v>
      </c>
      <c r="M232" s="28">
        <f t="shared" si="23"/>
        <v>4</v>
      </c>
      <c r="N232" s="31">
        <f t="shared" si="24"/>
        <v>3.9043478260869624E-2</v>
      </c>
      <c r="O232" s="24">
        <f>IF(J232="UNKNOWN","",INDEX(Cost_Rollup!$F$5:$F$16,MATCH(I232,Cost_Rollup!$A$5:$A$16,0)))</f>
        <v>471.04880000000003</v>
      </c>
      <c r="P232" s="24">
        <f t="shared" si="25"/>
        <v>1884.1952000000001</v>
      </c>
      <c r="Q232" s="15" t="str">
        <f t="shared" si="26"/>
        <v/>
      </c>
      <c r="R232" s="15" t="str">
        <f t="shared" si="27"/>
        <v>OK</v>
      </c>
    </row>
    <row r="233" spans="1:18" x14ac:dyDescent="0.3">
      <c r="A233" s="12" t="s">
        <v>503</v>
      </c>
      <c r="B233" s="30">
        <v>45979</v>
      </c>
      <c r="C233" s="12" t="s">
        <v>268</v>
      </c>
      <c r="D233" s="12" t="s">
        <v>269</v>
      </c>
      <c r="E233" s="12" t="s">
        <v>70</v>
      </c>
      <c r="F233" s="12" t="s">
        <v>118</v>
      </c>
      <c r="G233" s="23">
        <v>7</v>
      </c>
      <c r="H233" s="22">
        <v>1264.92</v>
      </c>
      <c r="I233" s="15" t="str">
        <f t="shared" si="21"/>
        <v>PC-MH-1200B</v>
      </c>
      <c r="J233" s="15" t="str">
        <f>IFERROR(INDEX(Items!$C$2:$C$500,MATCH(I233,Items!$H$2:$H$500,0)),"UNKNOWN")</f>
        <v>Manhole</v>
      </c>
      <c r="K233" s="24">
        <f>IF(J233="UNKNOWN","",INDEX(Items!$F$2:$F$500,MATCH(I233,Items!$H$2:$H$500,0)))</f>
        <v>1240</v>
      </c>
      <c r="L233" s="24">
        <f t="shared" si="22"/>
        <v>8854.44</v>
      </c>
      <c r="M233" s="28">
        <f t="shared" si="23"/>
        <v>7</v>
      </c>
      <c r="N233" s="31">
        <f t="shared" si="24"/>
        <v>-2.0096774193548494E-2</v>
      </c>
      <c r="O233" s="24">
        <f>IF(J233="UNKNOWN","",INDEX(Cost_Rollup!$F$5:$F$16,MATCH(I233,Cost_Rollup!$A$5:$A$16,0)))</f>
        <v>753.42079999999999</v>
      </c>
      <c r="P233" s="24">
        <f t="shared" si="25"/>
        <v>5273.9456</v>
      </c>
      <c r="Q233" s="15" t="str">
        <f t="shared" si="26"/>
        <v/>
      </c>
      <c r="R233" s="15" t="str">
        <f t="shared" si="27"/>
        <v>OK</v>
      </c>
    </row>
    <row r="234" spans="1:18" x14ac:dyDescent="0.3">
      <c r="A234" s="12" t="s">
        <v>504</v>
      </c>
      <c r="B234" s="30">
        <v>45981</v>
      </c>
      <c r="C234" s="12" t="s">
        <v>279</v>
      </c>
      <c r="D234" s="12" t="s">
        <v>280</v>
      </c>
      <c r="E234" s="12" t="s">
        <v>147</v>
      </c>
      <c r="F234" s="12" t="s">
        <v>125</v>
      </c>
      <c r="G234" s="23">
        <v>6</v>
      </c>
      <c r="H234" s="22">
        <v>1366.03</v>
      </c>
      <c r="I234" s="15" t="str">
        <f t="shared" si="21"/>
        <v>PC-BAR-F38</v>
      </c>
      <c r="J234" s="15" t="str">
        <f>IFERROR(INDEX(Items!$C$2:$C$500,MATCH(I234,Items!$H$2:$H$500,0)),"UNKNOWN")</f>
        <v>Barrier</v>
      </c>
      <c r="K234" s="24">
        <f>IF(J234="UNKNOWN","",INDEX(Items!$F$2:$F$500,MATCH(I234,Items!$H$2:$H$500,0)))</f>
        <v>1450</v>
      </c>
      <c r="L234" s="24">
        <f t="shared" si="22"/>
        <v>8196.18</v>
      </c>
      <c r="M234" s="28">
        <f t="shared" si="23"/>
        <v>6</v>
      </c>
      <c r="N234" s="31">
        <f t="shared" si="24"/>
        <v>5.791034482758628E-2</v>
      </c>
      <c r="O234" s="24">
        <f>IF(J234="UNKNOWN","",INDEX(Cost_Rollup!$F$5:$F$16,MATCH(I234,Cost_Rollup!$A$5:$A$16,0)))</f>
        <v>978.66327999999999</v>
      </c>
      <c r="P234" s="24">
        <f t="shared" si="25"/>
        <v>5871.9796800000004</v>
      </c>
      <c r="Q234" s="15" t="str">
        <f t="shared" si="26"/>
        <v/>
      </c>
      <c r="R234" s="15" t="str">
        <f t="shared" si="27"/>
        <v>OK</v>
      </c>
    </row>
    <row r="235" spans="1:18" x14ac:dyDescent="0.3">
      <c r="A235" s="12" t="s">
        <v>505</v>
      </c>
      <c r="B235" s="30">
        <v>45981</v>
      </c>
      <c r="C235" s="12" t="s">
        <v>292</v>
      </c>
      <c r="D235" s="12" t="s">
        <v>277</v>
      </c>
      <c r="E235" s="12" t="s">
        <v>70</v>
      </c>
      <c r="F235" s="12" t="s">
        <v>506</v>
      </c>
      <c r="G235" s="23">
        <v>11</v>
      </c>
      <c r="H235" s="22">
        <v>1744.55</v>
      </c>
      <c r="I235" s="15" t="str">
        <f t="shared" si="21"/>
        <v>PC-RCP-0750</v>
      </c>
      <c r="J235" s="15" t="str">
        <f>IFERROR(INDEX(Items!$C$2:$C$500,MATCH(I235,Items!$H$2:$H$500,0)),"UNKNOWN")</f>
        <v>UNKNOWN</v>
      </c>
      <c r="K235" s="24" t="str">
        <f>IF(J235="UNKNOWN","",INDEX(Items!$F$2:$F$500,MATCH(I235,Items!$H$2:$H$500,0)))</f>
        <v/>
      </c>
      <c r="L235" s="24">
        <f t="shared" si="22"/>
        <v>19190.05</v>
      </c>
      <c r="M235" s="28">
        <f t="shared" si="23"/>
        <v>11</v>
      </c>
      <c r="N235" s="31" t="str">
        <f t="shared" si="24"/>
        <v/>
      </c>
      <c r="O235" s="24" t="str">
        <f>IF(J235="UNKNOWN","",INDEX(Cost_Rollup!$F$5:$F$16,MATCH(I235,Cost_Rollup!$A$5:$A$16,0)))</f>
        <v/>
      </c>
      <c r="P235" s="24" t="str">
        <f t="shared" si="25"/>
        <v/>
      </c>
      <c r="Q235" s="15" t="str">
        <f t="shared" si="26"/>
        <v xml:space="preserve">Unknown item; </v>
      </c>
      <c r="R235" s="15" t="str">
        <f t="shared" si="27"/>
        <v>CHECK</v>
      </c>
    </row>
    <row r="236" spans="1:18" x14ac:dyDescent="0.3">
      <c r="A236" s="12" t="s">
        <v>507</v>
      </c>
      <c r="B236" s="30">
        <v>45981</v>
      </c>
      <c r="C236" s="12" t="s">
        <v>273</v>
      </c>
      <c r="D236" s="12" t="s">
        <v>274</v>
      </c>
      <c r="E236" s="12" t="s">
        <v>147</v>
      </c>
      <c r="F236" s="12" t="s">
        <v>122</v>
      </c>
      <c r="G236" s="23">
        <v>6</v>
      </c>
      <c r="H236" s="22">
        <v>704.08</v>
      </c>
      <c r="I236" s="15" t="str">
        <f t="shared" si="21"/>
        <v>PC-CB-0600</v>
      </c>
      <c r="J236" s="15" t="str">
        <f>IFERROR(INDEX(Items!$C$2:$C$500,MATCH(I236,Items!$H$2:$H$500,0)),"UNKNOWN")</f>
        <v>Catch Basin</v>
      </c>
      <c r="K236" s="24">
        <f>IF(J236="UNKNOWN","",INDEX(Items!$F$2:$F$500,MATCH(I236,Items!$H$2:$H$500,0)))</f>
        <v>690</v>
      </c>
      <c r="L236" s="24">
        <f t="shared" si="22"/>
        <v>4224.4800000000005</v>
      </c>
      <c r="M236" s="28">
        <f t="shared" si="23"/>
        <v>6</v>
      </c>
      <c r="N236" s="31">
        <f t="shared" si="24"/>
        <v>-2.0405797101449297E-2</v>
      </c>
      <c r="O236" s="24">
        <f>IF(J236="UNKNOWN","",INDEX(Cost_Rollup!$F$5:$F$16,MATCH(I236,Cost_Rollup!$A$5:$A$16,0)))</f>
        <v>471.04880000000003</v>
      </c>
      <c r="P236" s="24">
        <f t="shared" si="25"/>
        <v>2826.2928000000002</v>
      </c>
      <c r="Q236" s="15" t="str">
        <f t="shared" si="26"/>
        <v/>
      </c>
      <c r="R236" s="15" t="str">
        <f t="shared" si="27"/>
        <v>OK</v>
      </c>
    </row>
    <row r="237" spans="1:18" x14ac:dyDescent="0.3">
      <c r="A237" s="12" t="s">
        <v>508</v>
      </c>
      <c r="B237" s="30">
        <v>45981</v>
      </c>
      <c r="C237" s="12" t="s">
        <v>265</v>
      </c>
      <c r="D237" s="12" t="s">
        <v>266</v>
      </c>
      <c r="E237" s="12" t="s">
        <v>70</v>
      </c>
      <c r="F237" s="12" t="s">
        <v>115</v>
      </c>
      <c r="G237" s="23">
        <v>3</v>
      </c>
      <c r="H237" s="22">
        <v>998.31</v>
      </c>
      <c r="I237" s="15" t="str">
        <f t="shared" si="21"/>
        <v>PC-MH-1050B</v>
      </c>
      <c r="J237" s="15" t="str">
        <f>IFERROR(INDEX(Items!$C$2:$C$500,MATCH(I237,Items!$H$2:$H$500,0)),"UNKNOWN")</f>
        <v>Manhole</v>
      </c>
      <c r="K237" s="24">
        <f>IF(J237="UNKNOWN","",INDEX(Items!$F$2:$F$500,MATCH(I237,Items!$H$2:$H$500,0)))</f>
        <v>980</v>
      </c>
      <c r="L237" s="24">
        <f t="shared" si="22"/>
        <v>2994.93</v>
      </c>
      <c r="M237" s="28">
        <f t="shared" si="23"/>
        <v>3</v>
      </c>
      <c r="N237" s="31">
        <f t="shared" si="24"/>
        <v>-1.8683673469387596E-2</v>
      </c>
      <c r="O237" s="24">
        <f>IF(J237="UNKNOWN","",INDEX(Cost_Rollup!$F$5:$F$16,MATCH(I237,Cost_Rollup!$A$5:$A$16,0)))</f>
        <v>635.43299999999999</v>
      </c>
      <c r="P237" s="24">
        <f t="shared" si="25"/>
        <v>1906.299</v>
      </c>
      <c r="Q237" s="15" t="str">
        <f t="shared" si="26"/>
        <v/>
      </c>
      <c r="R237" s="15" t="str">
        <f t="shared" si="27"/>
        <v>OK</v>
      </c>
    </row>
    <row r="238" spans="1:18" x14ac:dyDescent="0.3">
      <c r="A238" s="12" t="s">
        <v>509</v>
      </c>
      <c r="B238" s="30">
        <v>45983</v>
      </c>
      <c r="C238" s="12" t="s">
        <v>260</v>
      </c>
      <c r="D238" s="12" t="s">
        <v>258</v>
      </c>
      <c r="E238" s="12" t="s">
        <v>70</v>
      </c>
      <c r="F238" s="12" t="s">
        <v>120</v>
      </c>
      <c r="G238" s="23">
        <v>4</v>
      </c>
      <c r="H238" s="22">
        <v>491.38</v>
      </c>
      <c r="I238" s="15" t="str">
        <f t="shared" si="21"/>
        <v>PC-MH-1200R</v>
      </c>
      <c r="J238" s="15" t="str">
        <f>IFERROR(INDEX(Items!$C$2:$C$500,MATCH(I238,Items!$H$2:$H$500,0)),"UNKNOWN")</f>
        <v>Manhole</v>
      </c>
      <c r="K238" s="24">
        <f>IF(J238="UNKNOWN","",INDEX(Items!$F$2:$F$500,MATCH(I238,Items!$H$2:$H$500,0)))</f>
        <v>520</v>
      </c>
      <c r="L238" s="24">
        <f t="shared" si="22"/>
        <v>1965.52</v>
      </c>
      <c r="M238" s="28">
        <f t="shared" si="23"/>
        <v>4</v>
      </c>
      <c r="N238" s="31">
        <f t="shared" si="24"/>
        <v>5.5038461538461592E-2</v>
      </c>
      <c r="O238" s="24">
        <f>IF(J238="UNKNOWN","",INDEX(Cost_Rollup!$F$5:$F$16,MATCH(I238,Cost_Rollup!$A$5:$A$16,0)))</f>
        <v>381.98428000000001</v>
      </c>
      <c r="P238" s="24">
        <f t="shared" si="25"/>
        <v>1527.93712</v>
      </c>
      <c r="Q238" s="15" t="str">
        <f t="shared" si="26"/>
        <v/>
      </c>
      <c r="R238" s="15" t="str">
        <f t="shared" si="27"/>
        <v>OK</v>
      </c>
    </row>
    <row r="239" spans="1:18" x14ac:dyDescent="0.3">
      <c r="A239" s="12" t="s">
        <v>510</v>
      </c>
      <c r="B239" s="30">
        <v>45985</v>
      </c>
      <c r="C239" s="12" t="s">
        <v>263</v>
      </c>
      <c r="D239" s="12" t="s">
        <v>258</v>
      </c>
      <c r="E239" s="12" t="s">
        <v>70</v>
      </c>
      <c r="F239" s="12" t="s">
        <v>129</v>
      </c>
      <c r="G239" s="23">
        <v>35</v>
      </c>
      <c r="H239" s="22">
        <v>2424</v>
      </c>
      <c r="I239" s="15" t="str">
        <f t="shared" si="21"/>
        <v>PC-BAR-SS60</v>
      </c>
      <c r="J239" s="15" t="str">
        <f>IFERROR(INDEX(Items!$C$2:$C$500,MATCH(I239,Items!$H$2:$H$500,0)),"UNKNOWN")</f>
        <v>Barrier</v>
      </c>
      <c r="K239" s="24">
        <f>IF(J239="UNKNOWN","",INDEX(Items!$F$2:$F$500,MATCH(I239,Items!$H$2:$H$500,0)))</f>
        <v>2350</v>
      </c>
      <c r="L239" s="24">
        <f t="shared" si="22"/>
        <v>84840</v>
      </c>
      <c r="M239" s="28">
        <f t="shared" si="23"/>
        <v>35</v>
      </c>
      <c r="N239" s="31">
        <f t="shared" si="24"/>
        <v>-3.1489361702127683E-2</v>
      </c>
      <c r="O239" s="24">
        <f>IF(J239="UNKNOWN","",INDEX(Cost_Rollup!$F$5:$F$16,MATCH(I239,Cost_Rollup!$A$5:$A$16,0)))</f>
        <v>1583.5454</v>
      </c>
      <c r="P239" s="24">
        <f t="shared" si="25"/>
        <v>55424.089</v>
      </c>
      <c r="Q239" s="15" t="str">
        <f t="shared" si="26"/>
        <v/>
      </c>
      <c r="R239" s="15" t="str">
        <f t="shared" si="27"/>
        <v>OK</v>
      </c>
    </row>
    <row r="240" spans="1:18" x14ac:dyDescent="0.3">
      <c r="A240" s="12" t="s">
        <v>511</v>
      </c>
      <c r="B240" s="30">
        <v>45985</v>
      </c>
      <c r="C240" s="12" t="s">
        <v>260</v>
      </c>
      <c r="D240" s="12" t="s">
        <v>258</v>
      </c>
      <c r="E240" s="12" t="s">
        <v>70</v>
      </c>
      <c r="F240" s="12" t="s">
        <v>129</v>
      </c>
      <c r="G240" s="23">
        <v>18</v>
      </c>
      <c r="H240" s="22">
        <v>2124.5</v>
      </c>
      <c r="I240" s="15" t="str">
        <f t="shared" si="21"/>
        <v>PC-BAR-SS60</v>
      </c>
      <c r="J240" s="15" t="str">
        <f>IFERROR(INDEX(Items!$C$2:$C$500,MATCH(I240,Items!$H$2:$H$500,0)),"UNKNOWN")</f>
        <v>Barrier</v>
      </c>
      <c r="K240" s="24">
        <f>IF(J240="UNKNOWN","",INDEX(Items!$F$2:$F$500,MATCH(I240,Items!$H$2:$H$500,0)))</f>
        <v>2350</v>
      </c>
      <c r="L240" s="24">
        <f t="shared" si="22"/>
        <v>38241</v>
      </c>
      <c r="M240" s="28">
        <f t="shared" si="23"/>
        <v>18</v>
      </c>
      <c r="N240" s="31">
        <f t="shared" si="24"/>
        <v>9.5957446808510594E-2</v>
      </c>
      <c r="O240" s="24">
        <f>IF(J240="UNKNOWN","",INDEX(Cost_Rollup!$F$5:$F$16,MATCH(I240,Cost_Rollup!$A$5:$A$16,0)))</f>
        <v>1583.5454</v>
      </c>
      <c r="P240" s="24">
        <f t="shared" si="25"/>
        <v>28503.817199999998</v>
      </c>
      <c r="Q240" s="15" t="str">
        <f t="shared" si="26"/>
        <v/>
      </c>
      <c r="R240" s="15" t="str">
        <f t="shared" si="27"/>
        <v>OK</v>
      </c>
    </row>
    <row r="241" spans="1:18" x14ac:dyDescent="0.3">
      <c r="A241" s="12" t="s">
        <v>512</v>
      </c>
      <c r="B241" s="30">
        <v>45987</v>
      </c>
      <c r="C241" s="12" t="s">
        <v>276</v>
      </c>
      <c r="D241" s="12" t="s">
        <v>277</v>
      </c>
      <c r="E241" s="12" t="s">
        <v>70</v>
      </c>
      <c r="F241" s="12" t="s">
        <v>125</v>
      </c>
      <c r="G241" s="23">
        <v>18</v>
      </c>
      <c r="H241" s="22">
        <v>1391.16</v>
      </c>
      <c r="I241" s="15" t="str">
        <f t="shared" si="21"/>
        <v>PC-BAR-F38</v>
      </c>
      <c r="J241" s="15" t="str">
        <f>IFERROR(INDEX(Items!$C$2:$C$500,MATCH(I241,Items!$H$2:$H$500,0)),"UNKNOWN")</f>
        <v>Barrier</v>
      </c>
      <c r="K241" s="24">
        <f>IF(J241="UNKNOWN","",INDEX(Items!$F$2:$F$500,MATCH(I241,Items!$H$2:$H$500,0)))</f>
        <v>1450</v>
      </c>
      <c r="L241" s="24">
        <f t="shared" si="22"/>
        <v>25040.880000000001</v>
      </c>
      <c r="M241" s="28">
        <f t="shared" si="23"/>
        <v>18</v>
      </c>
      <c r="N241" s="31">
        <f t="shared" si="24"/>
        <v>4.0579310344827535E-2</v>
      </c>
      <c r="O241" s="24">
        <f>IF(J241="UNKNOWN","",INDEX(Cost_Rollup!$F$5:$F$16,MATCH(I241,Cost_Rollup!$A$5:$A$16,0)))</f>
        <v>978.66327999999999</v>
      </c>
      <c r="P241" s="24">
        <f t="shared" si="25"/>
        <v>17615.939040000001</v>
      </c>
      <c r="Q241" s="15" t="str">
        <f t="shared" si="26"/>
        <v/>
      </c>
      <c r="R241" s="15" t="str">
        <f t="shared" si="27"/>
        <v>OK</v>
      </c>
    </row>
    <row r="242" spans="1:18" x14ac:dyDescent="0.3">
      <c r="A242" s="12" t="s">
        <v>513</v>
      </c>
      <c r="B242" s="30">
        <v>45988</v>
      </c>
      <c r="C242" s="12" t="s">
        <v>260</v>
      </c>
      <c r="D242" s="12" t="s">
        <v>258</v>
      </c>
      <c r="E242" s="12" t="s">
        <v>70</v>
      </c>
      <c r="F242" s="12" t="s">
        <v>131</v>
      </c>
      <c r="G242" s="23">
        <v>177</v>
      </c>
      <c r="H242" s="22">
        <v>111.6</v>
      </c>
      <c r="I242" s="15" t="str">
        <f t="shared" si="21"/>
        <v>PC-HC-200</v>
      </c>
      <c r="J242" s="15" t="str">
        <f>IFERROR(INDEX(Items!$C$2:$C$500,MATCH(I242,Items!$H$2:$H$500,0)),"UNKNOWN")</f>
        <v>Slab</v>
      </c>
      <c r="K242" s="24">
        <f>IF(J242="UNKNOWN","",INDEX(Items!$F$2:$F$500,MATCH(I242,Items!$H$2:$H$500,0)))</f>
        <v>118</v>
      </c>
      <c r="L242" s="24">
        <f t="shared" si="22"/>
        <v>19753.2</v>
      </c>
      <c r="M242" s="28">
        <f t="shared" si="23"/>
        <v>177</v>
      </c>
      <c r="N242" s="31">
        <f t="shared" si="24"/>
        <v>5.4237288135593253E-2</v>
      </c>
      <c r="O242" s="24">
        <f>IF(J242="UNKNOWN","",INDEX(Cost_Rollup!$F$5:$F$16,MATCH(I242,Cost_Rollup!$A$5:$A$16,0)))</f>
        <v>78.893820000000005</v>
      </c>
      <c r="P242" s="24">
        <f t="shared" si="25"/>
        <v>13964.20614</v>
      </c>
      <c r="Q242" s="15" t="str">
        <f t="shared" si="26"/>
        <v/>
      </c>
      <c r="R242" s="15" t="str">
        <f t="shared" si="27"/>
        <v>OK</v>
      </c>
    </row>
    <row r="243" spans="1:18" x14ac:dyDescent="0.3">
      <c r="A243" s="12" t="s">
        <v>514</v>
      </c>
      <c r="B243" s="30">
        <v>45988</v>
      </c>
      <c r="C243" s="12" t="s">
        <v>279</v>
      </c>
      <c r="D243" s="12" t="s">
        <v>280</v>
      </c>
      <c r="E243" s="12" t="s">
        <v>147</v>
      </c>
      <c r="F243" s="12" t="s">
        <v>131</v>
      </c>
      <c r="G243" s="23">
        <v>70</v>
      </c>
      <c r="H243" s="22">
        <v>116.31</v>
      </c>
      <c r="I243" s="15" t="str">
        <f t="shared" si="21"/>
        <v>PC-HC-200</v>
      </c>
      <c r="J243" s="15" t="str">
        <f>IFERROR(INDEX(Items!$C$2:$C$500,MATCH(I243,Items!$H$2:$H$500,0)),"UNKNOWN")</f>
        <v>Slab</v>
      </c>
      <c r="K243" s="24">
        <f>IF(J243="UNKNOWN","",INDEX(Items!$F$2:$F$500,MATCH(I243,Items!$H$2:$H$500,0)))</f>
        <v>118</v>
      </c>
      <c r="L243" s="24">
        <f t="shared" si="22"/>
        <v>8141.7</v>
      </c>
      <c r="M243" s="28">
        <f t="shared" si="23"/>
        <v>70</v>
      </c>
      <c r="N243" s="31">
        <f t="shared" si="24"/>
        <v>1.4322033898305109E-2</v>
      </c>
      <c r="O243" s="24">
        <f>IF(J243="UNKNOWN","",INDEX(Cost_Rollup!$F$5:$F$16,MATCH(I243,Cost_Rollup!$A$5:$A$16,0)))</f>
        <v>78.893820000000005</v>
      </c>
      <c r="P243" s="24">
        <f t="shared" si="25"/>
        <v>5522.5673999999999</v>
      </c>
      <c r="Q243" s="15" t="str">
        <f t="shared" si="26"/>
        <v/>
      </c>
      <c r="R243" s="15" t="str">
        <f t="shared" si="27"/>
        <v>OK</v>
      </c>
    </row>
    <row r="244" spans="1:18" x14ac:dyDescent="0.3">
      <c r="A244" s="12" t="s">
        <v>515</v>
      </c>
      <c r="B244" s="30">
        <v>45990</v>
      </c>
      <c r="C244" s="12" t="s">
        <v>292</v>
      </c>
      <c r="D244" s="12" t="s">
        <v>277</v>
      </c>
      <c r="E244" s="12" t="s">
        <v>70</v>
      </c>
      <c r="F244" s="12" t="s">
        <v>108</v>
      </c>
      <c r="G244" s="23">
        <v>13</v>
      </c>
      <c r="H244" s="22"/>
      <c r="I244" s="15" t="str">
        <f t="shared" si="21"/>
        <v>PC-RCP-0900</v>
      </c>
      <c r="J244" s="15" t="str">
        <f>IFERROR(INDEX(Items!$C$2:$C$500,MATCH(I244,Items!$H$2:$H$500,0)),"UNKNOWN")</f>
        <v>Pipe</v>
      </c>
      <c r="K244" s="24">
        <f>IF(J244="UNKNOWN","",INDEX(Items!$F$2:$F$500,MATCH(I244,Items!$H$2:$H$500,0)))</f>
        <v>1150</v>
      </c>
      <c r="L244" s="24" t="str">
        <f t="shared" si="22"/>
        <v/>
      </c>
      <c r="M244" s="28">
        <f t="shared" si="23"/>
        <v>0</v>
      </c>
      <c r="N244" s="31" t="str">
        <f t="shared" si="24"/>
        <v/>
      </c>
      <c r="O244" s="24">
        <f>IF(J244="UNKNOWN","",INDEX(Cost_Rollup!$F$5:$F$16,MATCH(I244,Cost_Rollup!$A$5:$A$16,0)))</f>
        <v>750.43372656869997</v>
      </c>
      <c r="P244" s="24" t="str">
        <f t="shared" si="25"/>
        <v/>
      </c>
      <c r="Q244" s="15" t="str">
        <f t="shared" si="26"/>
        <v xml:space="preserve">Missing price; </v>
      </c>
      <c r="R244" s="15" t="str">
        <f t="shared" si="27"/>
        <v>CHECK</v>
      </c>
    </row>
    <row r="245" spans="1:18" x14ac:dyDescent="0.3">
      <c r="A245" s="12" t="s">
        <v>516</v>
      </c>
      <c r="B245" s="30">
        <v>45993</v>
      </c>
      <c r="C245" s="12" t="s">
        <v>285</v>
      </c>
      <c r="D245" s="12" t="s">
        <v>266</v>
      </c>
      <c r="E245" s="12" t="s">
        <v>70</v>
      </c>
      <c r="F245" s="12" t="s">
        <v>115</v>
      </c>
      <c r="G245" s="23">
        <v>1</v>
      </c>
      <c r="H245" s="22">
        <v>998.32</v>
      </c>
      <c r="I245" s="15" t="str">
        <f t="shared" si="21"/>
        <v>PC-MH-1050B</v>
      </c>
      <c r="J245" s="15" t="str">
        <f>IFERROR(INDEX(Items!$C$2:$C$500,MATCH(I245,Items!$H$2:$H$500,0)),"UNKNOWN")</f>
        <v>Manhole</v>
      </c>
      <c r="K245" s="24">
        <f>IF(J245="UNKNOWN","",INDEX(Items!$F$2:$F$500,MATCH(I245,Items!$H$2:$H$500,0)))</f>
        <v>980</v>
      </c>
      <c r="L245" s="24">
        <f t="shared" si="22"/>
        <v>998.32</v>
      </c>
      <c r="M245" s="28">
        <f t="shared" si="23"/>
        <v>1</v>
      </c>
      <c r="N245" s="31">
        <f t="shared" si="24"/>
        <v>-1.8693877551020366E-2</v>
      </c>
      <c r="O245" s="24">
        <f>IF(J245="UNKNOWN","",INDEX(Cost_Rollup!$F$5:$F$16,MATCH(I245,Cost_Rollup!$A$5:$A$16,0)))</f>
        <v>635.43299999999999</v>
      </c>
      <c r="P245" s="24">
        <f t="shared" si="25"/>
        <v>635.43299999999999</v>
      </c>
      <c r="Q245" s="15" t="str">
        <f t="shared" si="26"/>
        <v/>
      </c>
      <c r="R245" s="15" t="str">
        <f t="shared" si="27"/>
        <v>OK</v>
      </c>
    </row>
    <row r="246" spans="1:18" x14ac:dyDescent="0.3">
      <c r="A246" s="12" t="s">
        <v>517</v>
      </c>
      <c r="B246" s="30">
        <v>45993</v>
      </c>
      <c r="C246" s="12" t="s">
        <v>257</v>
      </c>
      <c r="D246" s="12" t="s">
        <v>258</v>
      </c>
      <c r="E246" s="12" t="s">
        <v>70</v>
      </c>
      <c r="F246" s="12" t="s">
        <v>103</v>
      </c>
      <c r="G246" s="23">
        <v>4</v>
      </c>
      <c r="H246" s="22">
        <v>621.73</v>
      </c>
      <c r="I246" s="15" t="str">
        <f t="shared" si="21"/>
        <v>PC-RCP-0600</v>
      </c>
      <c r="J246" s="15" t="str">
        <f>IFERROR(INDEX(Items!$C$2:$C$500,MATCH(I246,Items!$H$2:$H$500,0)),"UNKNOWN")</f>
        <v>Pipe</v>
      </c>
      <c r="K246" s="24">
        <f>IF(J246="UNKNOWN","",INDEX(Items!$F$2:$F$500,MATCH(I246,Items!$H$2:$H$500,0)))</f>
        <v>640</v>
      </c>
      <c r="L246" s="24">
        <f t="shared" si="22"/>
        <v>2486.92</v>
      </c>
      <c r="M246" s="28">
        <f t="shared" si="23"/>
        <v>4</v>
      </c>
      <c r="N246" s="31">
        <f t="shared" si="24"/>
        <v>2.8546874999999972E-2</v>
      </c>
      <c r="O246" s="24">
        <f>IF(J246="UNKNOWN","",INDEX(Cost_Rollup!$F$5:$F$16,MATCH(I246,Cost_Rollup!$A$5:$A$16,0)))</f>
        <v>429.94831999999997</v>
      </c>
      <c r="P246" s="24">
        <f t="shared" si="25"/>
        <v>1719.7932799999999</v>
      </c>
      <c r="Q246" s="15" t="str">
        <f t="shared" si="26"/>
        <v/>
      </c>
      <c r="R246" s="15" t="str">
        <f t="shared" si="27"/>
        <v>OK</v>
      </c>
    </row>
    <row r="247" spans="1:18" x14ac:dyDescent="0.3">
      <c r="A247" s="12" t="s">
        <v>518</v>
      </c>
      <c r="B247" s="30">
        <v>45993</v>
      </c>
      <c r="C247" s="12" t="s">
        <v>292</v>
      </c>
      <c r="D247" s="12" t="s">
        <v>277</v>
      </c>
      <c r="E247" s="12" t="s">
        <v>70</v>
      </c>
      <c r="F247" s="12" t="s">
        <v>122</v>
      </c>
      <c r="G247" s="23">
        <v>3</v>
      </c>
      <c r="H247" s="22">
        <v>622.83000000000004</v>
      </c>
      <c r="I247" s="15" t="str">
        <f t="shared" si="21"/>
        <v>PC-CB-0600</v>
      </c>
      <c r="J247" s="15" t="str">
        <f>IFERROR(INDEX(Items!$C$2:$C$500,MATCH(I247,Items!$H$2:$H$500,0)),"UNKNOWN")</f>
        <v>Catch Basin</v>
      </c>
      <c r="K247" s="24">
        <f>IF(J247="UNKNOWN","",INDEX(Items!$F$2:$F$500,MATCH(I247,Items!$H$2:$H$500,0)))</f>
        <v>690</v>
      </c>
      <c r="L247" s="24">
        <f t="shared" si="22"/>
        <v>1868.4900000000002</v>
      </c>
      <c r="M247" s="28">
        <f t="shared" si="23"/>
        <v>3</v>
      </c>
      <c r="N247" s="31">
        <f t="shared" si="24"/>
        <v>9.7347826086956468E-2</v>
      </c>
      <c r="O247" s="24">
        <f>IF(J247="UNKNOWN","",INDEX(Cost_Rollup!$F$5:$F$16,MATCH(I247,Cost_Rollup!$A$5:$A$16,0)))</f>
        <v>471.04880000000003</v>
      </c>
      <c r="P247" s="24">
        <f t="shared" si="25"/>
        <v>1413.1464000000001</v>
      </c>
      <c r="Q247" s="15" t="str">
        <f t="shared" si="26"/>
        <v/>
      </c>
      <c r="R247" s="15" t="str">
        <f t="shared" si="27"/>
        <v>OK</v>
      </c>
    </row>
    <row r="248" spans="1:18" x14ac:dyDescent="0.3">
      <c r="A248" s="12" t="s">
        <v>519</v>
      </c>
      <c r="B248" s="30">
        <v>45994</v>
      </c>
      <c r="C248" s="12" t="s">
        <v>292</v>
      </c>
      <c r="D248" s="12" t="s">
        <v>277</v>
      </c>
      <c r="E248" s="12" t="s">
        <v>70</v>
      </c>
      <c r="F248" s="12" t="s">
        <v>103</v>
      </c>
      <c r="G248" s="23">
        <v>24</v>
      </c>
      <c r="H248" s="22">
        <v>624.80999999999995</v>
      </c>
      <c r="I248" s="15" t="str">
        <f t="shared" si="21"/>
        <v>PC-RCP-0600</v>
      </c>
      <c r="J248" s="15" t="str">
        <f>IFERROR(INDEX(Items!$C$2:$C$500,MATCH(I248,Items!$H$2:$H$500,0)),"UNKNOWN")</f>
        <v>Pipe</v>
      </c>
      <c r="K248" s="24">
        <f>IF(J248="UNKNOWN","",INDEX(Items!$F$2:$F$500,MATCH(I248,Items!$H$2:$H$500,0)))</f>
        <v>640</v>
      </c>
      <c r="L248" s="24">
        <f t="shared" si="22"/>
        <v>14995.439999999999</v>
      </c>
      <c r="M248" s="28">
        <f t="shared" si="23"/>
        <v>24</v>
      </c>
      <c r="N248" s="31">
        <f t="shared" si="24"/>
        <v>2.3734375000000085E-2</v>
      </c>
      <c r="O248" s="24">
        <f>IF(J248="UNKNOWN","",INDEX(Cost_Rollup!$F$5:$F$16,MATCH(I248,Cost_Rollup!$A$5:$A$16,0)))</f>
        <v>429.94831999999997</v>
      </c>
      <c r="P248" s="24">
        <f t="shared" si="25"/>
        <v>10318.759679999999</v>
      </c>
      <c r="Q248" s="15" t="str">
        <f t="shared" si="26"/>
        <v/>
      </c>
      <c r="R248" s="15" t="str">
        <f t="shared" si="27"/>
        <v>OK</v>
      </c>
    </row>
    <row r="249" spans="1:18" x14ac:dyDescent="0.3">
      <c r="A249" s="12" t="s">
        <v>520</v>
      </c>
      <c r="B249" s="30">
        <v>45994</v>
      </c>
      <c r="C249" s="12" t="s">
        <v>257</v>
      </c>
      <c r="D249" s="12" t="s">
        <v>258</v>
      </c>
      <c r="E249" s="12" t="s">
        <v>70</v>
      </c>
      <c r="F249" s="12" t="s">
        <v>103</v>
      </c>
      <c r="G249" s="23">
        <v>16</v>
      </c>
      <c r="H249" s="22">
        <v>640.91</v>
      </c>
      <c r="I249" s="15" t="str">
        <f t="shared" si="21"/>
        <v>PC-RCP-0600</v>
      </c>
      <c r="J249" s="15" t="str">
        <f>IFERROR(INDEX(Items!$C$2:$C$500,MATCH(I249,Items!$H$2:$H$500,0)),"UNKNOWN")</f>
        <v>Pipe</v>
      </c>
      <c r="K249" s="24">
        <f>IF(J249="UNKNOWN","",INDEX(Items!$F$2:$F$500,MATCH(I249,Items!$H$2:$H$500,0)))</f>
        <v>640</v>
      </c>
      <c r="L249" s="24">
        <f t="shared" si="22"/>
        <v>10254.56</v>
      </c>
      <c r="M249" s="28">
        <f t="shared" si="23"/>
        <v>16</v>
      </c>
      <c r="N249" s="31">
        <f t="shared" si="24"/>
        <v>-1.4218749999999059E-3</v>
      </c>
      <c r="O249" s="24">
        <f>IF(J249="UNKNOWN","",INDEX(Cost_Rollup!$F$5:$F$16,MATCH(I249,Cost_Rollup!$A$5:$A$16,0)))</f>
        <v>429.94831999999997</v>
      </c>
      <c r="P249" s="24">
        <f t="shared" si="25"/>
        <v>6879.1731199999995</v>
      </c>
      <c r="Q249" s="15" t="str">
        <f t="shared" si="26"/>
        <v/>
      </c>
      <c r="R249" s="15" t="str">
        <f t="shared" si="27"/>
        <v>OK</v>
      </c>
    </row>
    <row r="250" spans="1:18" x14ac:dyDescent="0.3">
      <c r="A250" s="12" t="s">
        <v>521</v>
      </c>
      <c r="B250" s="30">
        <v>45996</v>
      </c>
      <c r="C250" s="12" t="s">
        <v>260</v>
      </c>
      <c r="D250" s="12" t="s">
        <v>258</v>
      </c>
      <c r="E250" s="12" t="s">
        <v>70</v>
      </c>
      <c r="F250" s="12" t="s">
        <v>115</v>
      </c>
      <c r="G250" s="23">
        <v>4</v>
      </c>
      <c r="H250" s="22">
        <v>883</v>
      </c>
      <c r="I250" s="15" t="str">
        <f t="shared" si="21"/>
        <v>PC-MH-1050B</v>
      </c>
      <c r="J250" s="15" t="str">
        <f>IFERROR(INDEX(Items!$C$2:$C$500,MATCH(I250,Items!$H$2:$H$500,0)),"UNKNOWN")</f>
        <v>Manhole</v>
      </c>
      <c r="K250" s="24">
        <f>IF(J250="UNKNOWN","",INDEX(Items!$F$2:$F$500,MATCH(I250,Items!$H$2:$H$500,0)))</f>
        <v>980</v>
      </c>
      <c r="L250" s="24">
        <f t="shared" si="22"/>
        <v>3532</v>
      </c>
      <c r="M250" s="28">
        <f t="shared" si="23"/>
        <v>4</v>
      </c>
      <c r="N250" s="31">
        <f t="shared" si="24"/>
        <v>9.8979591836734659E-2</v>
      </c>
      <c r="O250" s="24">
        <f>IF(J250="UNKNOWN","",INDEX(Cost_Rollup!$F$5:$F$16,MATCH(I250,Cost_Rollup!$A$5:$A$16,0)))</f>
        <v>635.43299999999999</v>
      </c>
      <c r="P250" s="24">
        <f t="shared" si="25"/>
        <v>2541.732</v>
      </c>
      <c r="Q250" s="15" t="str">
        <f t="shared" si="26"/>
        <v/>
      </c>
      <c r="R250" s="15" t="str">
        <f t="shared" si="27"/>
        <v>OK</v>
      </c>
    </row>
    <row r="251" spans="1:18" x14ac:dyDescent="0.3">
      <c r="A251" s="12" t="s">
        <v>522</v>
      </c>
      <c r="B251" s="30">
        <v>45999</v>
      </c>
      <c r="C251" s="12" t="s">
        <v>279</v>
      </c>
      <c r="D251" s="12" t="s">
        <v>280</v>
      </c>
      <c r="E251" s="12" t="s">
        <v>147</v>
      </c>
      <c r="F251" s="12" t="s">
        <v>120</v>
      </c>
      <c r="G251" s="23">
        <v>6</v>
      </c>
      <c r="H251" s="22">
        <v>480.87</v>
      </c>
      <c r="I251" s="15" t="str">
        <f t="shared" si="21"/>
        <v>PC-MH-1200R</v>
      </c>
      <c r="J251" s="15" t="str">
        <f>IFERROR(INDEX(Items!$C$2:$C$500,MATCH(I251,Items!$H$2:$H$500,0)),"UNKNOWN")</f>
        <v>Manhole</v>
      </c>
      <c r="K251" s="24">
        <f>IF(J251="UNKNOWN","",INDEX(Items!$F$2:$F$500,MATCH(I251,Items!$H$2:$H$500,0)))</f>
        <v>520</v>
      </c>
      <c r="L251" s="24">
        <f t="shared" si="22"/>
        <v>2885.2200000000003</v>
      </c>
      <c r="M251" s="28">
        <f t="shared" si="23"/>
        <v>6</v>
      </c>
      <c r="N251" s="31">
        <f t="shared" si="24"/>
        <v>7.5250000000000039E-2</v>
      </c>
      <c r="O251" s="24">
        <f>IF(J251="UNKNOWN","",INDEX(Cost_Rollup!$F$5:$F$16,MATCH(I251,Cost_Rollup!$A$5:$A$16,0)))</f>
        <v>381.98428000000001</v>
      </c>
      <c r="P251" s="24">
        <f t="shared" si="25"/>
        <v>2291.9056799999998</v>
      </c>
      <c r="Q251" s="15" t="str">
        <f t="shared" si="26"/>
        <v/>
      </c>
      <c r="R251" s="15" t="str">
        <f t="shared" si="27"/>
        <v>OK</v>
      </c>
    </row>
    <row r="252" spans="1:18" x14ac:dyDescent="0.3">
      <c r="A252" s="12" t="s">
        <v>523</v>
      </c>
      <c r="B252" s="30">
        <v>45999</v>
      </c>
      <c r="C252" s="12" t="s">
        <v>285</v>
      </c>
      <c r="D252" s="12" t="s">
        <v>266</v>
      </c>
      <c r="E252" s="12" t="s">
        <v>70</v>
      </c>
      <c r="F252" s="12" t="s">
        <v>103</v>
      </c>
      <c r="G252" s="23">
        <v>29</v>
      </c>
      <c r="H252" s="22">
        <v>635.73</v>
      </c>
      <c r="I252" s="15" t="str">
        <f t="shared" si="21"/>
        <v>PC-RCP-0600</v>
      </c>
      <c r="J252" s="15" t="str">
        <f>IFERROR(INDEX(Items!$C$2:$C$500,MATCH(I252,Items!$H$2:$H$500,0)),"UNKNOWN")</f>
        <v>Pipe</v>
      </c>
      <c r="K252" s="24">
        <f>IF(J252="UNKNOWN","",INDEX(Items!$F$2:$F$500,MATCH(I252,Items!$H$2:$H$500,0)))</f>
        <v>640</v>
      </c>
      <c r="L252" s="24">
        <f t="shared" si="22"/>
        <v>18436.170000000002</v>
      </c>
      <c r="M252" s="28">
        <f t="shared" si="23"/>
        <v>29</v>
      </c>
      <c r="N252" s="31">
        <f t="shared" si="24"/>
        <v>6.6718749999999938E-3</v>
      </c>
      <c r="O252" s="24">
        <f>IF(J252="UNKNOWN","",INDEX(Cost_Rollup!$F$5:$F$16,MATCH(I252,Cost_Rollup!$A$5:$A$16,0)))</f>
        <v>429.94831999999997</v>
      </c>
      <c r="P252" s="24">
        <f t="shared" si="25"/>
        <v>12468.501279999999</v>
      </c>
      <c r="Q252" s="15" t="str">
        <f t="shared" si="26"/>
        <v/>
      </c>
      <c r="R252" s="15" t="str">
        <f t="shared" si="27"/>
        <v>OK</v>
      </c>
    </row>
    <row r="253" spans="1:18" x14ac:dyDescent="0.3">
      <c r="A253" s="12" t="s">
        <v>524</v>
      </c>
      <c r="B253" s="30">
        <v>46001</v>
      </c>
      <c r="C253" s="12" t="s">
        <v>292</v>
      </c>
      <c r="D253" s="12" t="s">
        <v>277</v>
      </c>
      <c r="E253" s="12" t="s">
        <v>70</v>
      </c>
      <c r="F253" s="12" t="s">
        <v>125</v>
      </c>
      <c r="G253" s="23">
        <v>11</v>
      </c>
      <c r="H253" s="22">
        <v>1322.36</v>
      </c>
      <c r="I253" s="15" t="str">
        <f t="shared" si="21"/>
        <v>PC-BAR-F38</v>
      </c>
      <c r="J253" s="15" t="str">
        <f>IFERROR(INDEX(Items!$C$2:$C$500,MATCH(I253,Items!$H$2:$H$500,0)),"UNKNOWN")</f>
        <v>Barrier</v>
      </c>
      <c r="K253" s="24">
        <f>IF(J253="UNKNOWN","",INDEX(Items!$F$2:$F$500,MATCH(I253,Items!$H$2:$H$500,0)))</f>
        <v>1450</v>
      </c>
      <c r="L253" s="24">
        <f t="shared" si="22"/>
        <v>14545.96</v>
      </c>
      <c r="M253" s="28">
        <f t="shared" si="23"/>
        <v>11</v>
      </c>
      <c r="N253" s="31">
        <f t="shared" si="24"/>
        <v>8.8027586206896657E-2</v>
      </c>
      <c r="O253" s="24">
        <f>IF(J253="UNKNOWN","",INDEX(Cost_Rollup!$F$5:$F$16,MATCH(I253,Cost_Rollup!$A$5:$A$16,0)))</f>
        <v>978.66327999999999</v>
      </c>
      <c r="P253" s="24">
        <f t="shared" si="25"/>
        <v>10765.29608</v>
      </c>
      <c r="Q253" s="15" t="str">
        <f t="shared" si="26"/>
        <v/>
      </c>
      <c r="R253" s="15" t="str">
        <f t="shared" si="27"/>
        <v>OK</v>
      </c>
    </row>
    <row r="254" spans="1:18" x14ac:dyDescent="0.3">
      <c r="A254" s="12" t="s">
        <v>525</v>
      </c>
      <c r="B254" s="30">
        <v>46003</v>
      </c>
      <c r="C254" s="12" t="s">
        <v>257</v>
      </c>
      <c r="D254" s="12" t="s">
        <v>258</v>
      </c>
      <c r="E254" s="12" t="s">
        <v>70</v>
      </c>
      <c r="F254" s="12" t="s">
        <v>110</v>
      </c>
      <c r="G254" s="23">
        <v>29</v>
      </c>
      <c r="H254" s="22">
        <v>1727.86</v>
      </c>
      <c r="I254" s="15" t="str">
        <f t="shared" si="21"/>
        <v>PC-RCP-1200</v>
      </c>
      <c r="J254" s="15" t="str">
        <f>IFERROR(INDEX(Items!$C$2:$C$500,MATCH(I254,Items!$H$2:$H$500,0)),"UNKNOWN")</f>
        <v>Pipe</v>
      </c>
      <c r="K254" s="24">
        <f>IF(J254="UNKNOWN","",INDEX(Items!$F$2:$F$500,MATCH(I254,Items!$H$2:$H$500,0)))</f>
        <v>1890</v>
      </c>
      <c r="L254" s="24">
        <f t="shared" si="22"/>
        <v>50107.939999999995</v>
      </c>
      <c r="M254" s="28">
        <f t="shared" si="23"/>
        <v>29</v>
      </c>
      <c r="N254" s="31">
        <f t="shared" si="24"/>
        <v>8.5788359788359858E-2</v>
      </c>
      <c r="O254" s="24">
        <f>IF(J254="UNKNOWN","",INDEX(Cost_Rollup!$F$5:$F$16,MATCH(I254,Cost_Rollup!$A$5:$A$16,0)))</f>
        <v>1206.4054000000001</v>
      </c>
      <c r="P254" s="24">
        <f t="shared" si="25"/>
        <v>34985.756600000001</v>
      </c>
      <c r="Q254" s="15" t="str">
        <f t="shared" si="26"/>
        <v/>
      </c>
      <c r="R254" s="15" t="str">
        <f t="shared" si="27"/>
        <v>OK</v>
      </c>
    </row>
    <row r="255" spans="1:18" x14ac:dyDescent="0.3">
      <c r="A255" s="12" t="s">
        <v>526</v>
      </c>
      <c r="B255" s="30">
        <v>46006</v>
      </c>
      <c r="C255" s="12" t="s">
        <v>292</v>
      </c>
      <c r="D255" s="12" t="s">
        <v>277</v>
      </c>
      <c r="E255" s="12" t="s">
        <v>70</v>
      </c>
      <c r="F255" s="12" t="s">
        <v>103</v>
      </c>
      <c r="G255" s="23">
        <v>15</v>
      </c>
      <c r="H255" s="22">
        <v>651.85</v>
      </c>
      <c r="I255" s="15" t="str">
        <f t="shared" si="21"/>
        <v>PC-RCP-0600</v>
      </c>
      <c r="J255" s="15" t="str">
        <f>IFERROR(INDEX(Items!$C$2:$C$500,MATCH(I255,Items!$H$2:$H$500,0)),"UNKNOWN")</f>
        <v>Pipe</v>
      </c>
      <c r="K255" s="24">
        <f>IF(J255="UNKNOWN","",INDEX(Items!$F$2:$F$500,MATCH(I255,Items!$H$2:$H$500,0)))</f>
        <v>640</v>
      </c>
      <c r="L255" s="24">
        <f t="shared" si="22"/>
        <v>9777.75</v>
      </c>
      <c r="M255" s="28">
        <f t="shared" si="23"/>
        <v>15</v>
      </c>
      <c r="N255" s="31">
        <f t="shared" si="24"/>
        <v>-1.8515625000000036E-2</v>
      </c>
      <c r="O255" s="24">
        <f>IF(J255="UNKNOWN","",INDEX(Cost_Rollup!$F$5:$F$16,MATCH(I255,Cost_Rollup!$A$5:$A$16,0)))</f>
        <v>429.94831999999997</v>
      </c>
      <c r="P255" s="24">
        <f t="shared" si="25"/>
        <v>6449.2248</v>
      </c>
      <c r="Q255" s="15" t="str">
        <f t="shared" si="26"/>
        <v/>
      </c>
      <c r="R255" s="15" t="str">
        <f t="shared" si="27"/>
        <v>OK</v>
      </c>
    </row>
    <row r="256" spans="1:18" x14ac:dyDescent="0.3">
      <c r="A256" s="12" t="s">
        <v>527</v>
      </c>
      <c r="B256" s="30">
        <v>46006</v>
      </c>
      <c r="C256" s="12" t="s">
        <v>276</v>
      </c>
      <c r="D256" s="12" t="s">
        <v>277</v>
      </c>
      <c r="E256" s="12" t="s">
        <v>70</v>
      </c>
      <c r="F256" s="12" t="s">
        <v>110</v>
      </c>
      <c r="G256" s="23">
        <v>7</v>
      </c>
      <c r="H256" s="22">
        <v>1907.8</v>
      </c>
      <c r="I256" s="15" t="str">
        <f t="shared" si="21"/>
        <v>PC-RCP-1200</v>
      </c>
      <c r="J256" s="15" t="str">
        <f>IFERROR(INDEX(Items!$C$2:$C$500,MATCH(I256,Items!$H$2:$H$500,0)),"UNKNOWN")</f>
        <v>Pipe</v>
      </c>
      <c r="K256" s="24">
        <f>IF(J256="UNKNOWN","",INDEX(Items!$F$2:$F$500,MATCH(I256,Items!$H$2:$H$500,0)))</f>
        <v>1890</v>
      </c>
      <c r="L256" s="24">
        <f t="shared" si="22"/>
        <v>13354.6</v>
      </c>
      <c r="M256" s="28">
        <f t="shared" si="23"/>
        <v>7</v>
      </c>
      <c r="N256" s="31">
        <f t="shared" si="24"/>
        <v>-9.4179894179893253E-3</v>
      </c>
      <c r="O256" s="24">
        <f>IF(J256="UNKNOWN","",INDEX(Cost_Rollup!$F$5:$F$16,MATCH(I256,Cost_Rollup!$A$5:$A$16,0)))</f>
        <v>1206.4054000000001</v>
      </c>
      <c r="P256" s="24">
        <f t="shared" si="25"/>
        <v>8444.8378000000012</v>
      </c>
      <c r="Q256" s="15" t="str">
        <f t="shared" si="26"/>
        <v/>
      </c>
      <c r="R256" s="15" t="str">
        <f t="shared" si="27"/>
        <v>OK</v>
      </c>
    </row>
    <row r="257" spans="1:18" x14ac:dyDescent="0.3">
      <c r="A257" s="12" t="s">
        <v>528</v>
      </c>
      <c r="B257" s="30">
        <v>46006</v>
      </c>
      <c r="C257" s="12" t="s">
        <v>285</v>
      </c>
      <c r="D257" s="12" t="s">
        <v>266</v>
      </c>
      <c r="E257" s="12" t="s">
        <v>70</v>
      </c>
      <c r="F257" s="12" t="s">
        <v>110</v>
      </c>
      <c r="G257" s="23">
        <v>18</v>
      </c>
      <c r="H257" s="22">
        <v>1962.09</v>
      </c>
      <c r="I257" s="15" t="str">
        <f t="shared" si="21"/>
        <v>PC-RCP-1200</v>
      </c>
      <c r="J257" s="15" t="str">
        <f>IFERROR(INDEX(Items!$C$2:$C$500,MATCH(I257,Items!$H$2:$H$500,0)),"UNKNOWN")</f>
        <v>Pipe</v>
      </c>
      <c r="K257" s="24">
        <f>IF(J257="UNKNOWN","",INDEX(Items!$F$2:$F$500,MATCH(I257,Items!$H$2:$H$500,0)))</f>
        <v>1890</v>
      </c>
      <c r="L257" s="24">
        <f t="shared" si="22"/>
        <v>35317.619999999995</v>
      </c>
      <c r="M257" s="28">
        <f t="shared" si="23"/>
        <v>18</v>
      </c>
      <c r="N257" s="31">
        <f t="shared" si="24"/>
        <v>-3.8142857142857034E-2</v>
      </c>
      <c r="O257" s="24">
        <f>IF(J257="UNKNOWN","",INDEX(Cost_Rollup!$F$5:$F$16,MATCH(I257,Cost_Rollup!$A$5:$A$16,0)))</f>
        <v>1206.4054000000001</v>
      </c>
      <c r="P257" s="24">
        <f t="shared" si="25"/>
        <v>21715.297200000001</v>
      </c>
      <c r="Q257" s="15" t="str">
        <f t="shared" si="26"/>
        <v/>
      </c>
      <c r="R257" s="15" t="str">
        <f t="shared" si="27"/>
        <v>OK</v>
      </c>
    </row>
    <row r="258" spans="1:18" x14ac:dyDescent="0.3">
      <c r="A258" s="12" t="s">
        <v>529</v>
      </c>
      <c r="B258" s="30">
        <v>46010</v>
      </c>
      <c r="C258" s="12" t="s">
        <v>263</v>
      </c>
      <c r="D258" s="12" t="s">
        <v>258</v>
      </c>
      <c r="E258" s="12" t="s">
        <v>70</v>
      </c>
      <c r="F258" s="12" t="s">
        <v>110</v>
      </c>
      <c r="G258" s="23">
        <v>24</v>
      </c>
      <c r="H258" s="22">
        <v>1841.22</v>
      </c>
      <c r="I258" s="15" t="str">
        <f t="shared" si="21"/>
        <v>PC-RCP-1200</v>
      </c>
      <c r="J258" s="15" t="str">
        <f>IFERROR(INDEX(Items!$C$2:$C$500,MATCH(I258,Items!$H$2:$H$500,0)),"UNKNOWN")</f>
        <v>Pipe</v>
      </c>
      <c r="K258" s="24">
        <f>IF(J258="UNKNOWN","",INDEX(Items!$F$2:$F$500,MATCH(I258,Items!$H$2:$H$500,0)))</f>
        <v>1890</v>
      </c>
      <c r="L258" s="24">
        <f t="shared" si="22"/>
        <v>44189.279999999999</v>
      </c>
      <c r="M258" s="28">
        <f t="shared" si="23"/>
        <v>24</v>
      </c>
      <c r="N258" s="31">
        <f t="shared" si="24"/>
        <v>2.5809523809523838E-2</v>
      </c>
      <c r="O258" s="24">
        <f>IF(J258="UNKNOWN","",INDEX(Cost_Rollup!$F$5:$F$16,MATCH(I258,Cost_Rollup!$A$5:$A$16,0)))</f>
        <v>1206.4054000000001</v>
      </c>
      <c r="P258" s="24">
        <f t="shared" ref="P258:P321" si="28">IF(AND(ISNUMBER(L258),ISNUMBER(O258)),G258*O258,"")</f>
        <v>28953.729600000002</v>
      </c>
      <c r="Q258" s="15" t="str">
        <f t="shared" si="26"/>
        <v/>
      </c>
      <c r="R258" s="15" t="str">
        <f t="shared" ref="R258:R321" si="29">IF(Q258="","OK","CHECK")</f>
        <v>OK</v>
      </c>
    </row>
    <row r="259" spans="1:18" x14ac:dyDescent="0.3">
      <c r="A259" s="12" t="s">
        <v>530</v>
      </c>
      <c r="B259" s="30">
        <v>46010</v>
      </c>
      <c r="C259" s="12" t="s">
        <v>276</v>
      </c>
      <c r="D259" s="12" t="s">
        <v>277</v>
      </c>
      <c r="E259" s="12" t="s">
        <v>70</v>
      </c>
      <c r="F259" s="12" t="s">
        <v>110</v>
      </c>
      <c r="G259" s="23">
        <v>27</v>
      </c>
      <c r="H259" s="22">
        <v>1940.74</v>
      </c>
      <c r="I259" s="15" t="str">
        <f t="shared" si="21"/>
        <v>PC-RCP-1200</v>
      </c>
      <c r="J259" s="15" t="str">
        <f>IFERROR(INDEX(Items!$C$2:$C$500,MATCH(I259,Items!$H$2:$H$500,0)),"UNKNOWN")</f>
        <v>Pipe</v>
      </c>
      <c r="K259" s="24">
        <f>IF(J259="UNKNOWN","",INDEX(Items!$F$2:$F$500,MATCH(I259,Items!$H$2:$H$500,0)))</f>
        <v>1890</v>
      </c>
      <c r="L259" s="24">
        <f t="shared" si="22"/>
        <v>52399.98</v>
      </c>
      <c r="M259" s="28">
        <f t="shared" si="23"/>
        <v>27</v>
      </c>
      <c r="N259" s="31">
        <f t="shared" si="24"/>
        <v>-2.6846560846560896E-2</v>
      </c>
      <c r="O259" s="24">
        <f>IF(J259="UNKNOWN","",INDEX(Cost_Rollup!$F$5:$F$16,MATCH(I259,Cost_Rollup!$A$5:$A$16,0)))</f>
        <v>1206.4054000000001</v>
      </c>
      <c r="P259" s="24">
        <f t="shared" si="28"/>
        <v>32572.945800000001</v>
      </c>
      <c r="Q259" s="15" t="str">
        <f t="shared" si="26"/>
        <v/>
      </c>
      <c r="R259" s="15" t="str">
        <f t="shared" si="29"/>
        <v>OK</v>
      </c>
    </row>
    <row r="260" spans="1:18" x14ac:dyDescent="0.3">
      <c r="A260" s="12" t="s">
        <v>531</v>
      </c>
      <c r="B260" s="30">
        <v>46010</v>
      </c>
      <c r="C260" s="12" t="s">
        <v>285</v>
      </c>
      <c r="D260" s="12" t="s">
        <v>266</v>
      </c>
      <c r="E260" s="12" t="s">
        <v>70</v>
      </c>
      <c r="F260" s="12" t="s">
        <v>135</v>
      </c>
      <c r="G260" s="23">
        <v>120</v>
      </c>
      <c r="H260" s="22">
        <v>124.59</v>
      </c>
      <c r="I260" s="15" t="str">
        <f t="shared" si="21"/>
        <v>PC-HC-250</v>
      </c>
      <c r="J260" s="15" t="str">
        <f>IFERROR(INDEX(Items!$C$2:$C$500,MATCH(I260,Items!$H$2:$H$500,0)),"UNKNOWN")</f>
        <v>Slab</v>
      </c>
      <c r="K260" s="24">
        <f>IF(J260="UNKNOWN","",INDEX(Items!$F$2:$F$500,MATCH(I260,Items!$H$2:$H$500,0)))</f>
        <v>136</v>
      </c>
      <c r="L260" s="24">
        <f t="shared" si="22"/>
        <v>14950.800000000001</v>
      </c>
      <c r="M260" s="28">
        <f t="shared" si="23"/>
        <v>120</v>
      </c>
      <c r="N260" s="31">
        <f t="shared" si="24"/>
        <v>8.389705882352938E-2</v>
      </c>
      <c r="O260" s="24">
        <f>IF(J260="UNKNOWN","",INDEX(Cost_Rollup!$F$5:$F$16,MATCH(I260,Cost_Rollup!$A$5:$A$16,0)))</f>
        <v>92.940240000000003</v>
      </c>
      <c r="P260" s="24">
        <f t="shared" si="28"/>
        <v>11152.828800000001</v>
      </c>
      <c r="Q260" s="15" t="str">
        <f t="shared" si="26"/>
        <v/>
      </c>
      <c r="R260" s="15" t="str">
        <f t="shared" si="29"/>
        <v>OK</v>
      </c>
    </row>
    <row r="261" spans="1:18" x14ac:dyDescent="0.3">
      <c r="A261" s="12" t="s">
        <v>532</v>
      </c>
      <c r="B261" s="30">
        <v>46013</v>
      </c>
      <c r="C261" s="12" t="s">
        <v>279</v>
      </c>
      <c r="D261" s="12" t="s">
        <v>280</v>
      </c>
      <c r="E261" s="12" t="s">
        <v>147</v>
      </c>
      <c r="F261" s="12" t="s">
        <v>131</v>
      </c>
      <c r="G261" s="23">
        <v>200</v>
      </c>
      <c r="H261" s="22">
        <v>109.67</v>
      </c>
      <c r="I261" s="15" t="str">
        <f t="shared" si="21"/>
        <v>PC-HC-200</v>
      </c>
      <c r="J261" s="15" t="str">
        <f>IFERROR(INDEX(Items!$C$2:$C$500,MATCH(I261,Items!$H$2:$H$500,0)),"UNKNOWN")</f>
        <v>Slab</v>
      </c>
      <c r="K261" s="24">
        <f>IF(J261="UNKNOWN","",INDEX(Items!$F$2:$F$500,MATCH(I261,Items!$H$2:$H$500,0)))</f>
        <v>118</v>
      </c>
      <c r="L261" s="24">
        <f t="shared" si="22"/>
        <v>21934</v>
      </c>
      <c r="M261" s="28">
        <f t="shared" si="23"/>
        <v>200</v>
      </c>
      <c r="N261" s="31">
        <f t="shared" si="24"/>
        <v>7.0593220338983076E-2</v>
      </c>
      <c r="O261" s="24">
        <f>IF(J261="UNKNOWN","",INDEX(Cost_Rollup!$F$5:$F$16,MATCH(I261,Cost_Rollup!$A$5:$A$16,0)))</f>
        <v>78.893820000000005</v>
      </c>
      <c r="P261" s="24">
        <f t="shared" si="28"/>
        <v>15778.764000000001</v>
      </c>
      <c r="Q261" s="15" t="str">
        <f t="shared" si="26"/>
        <v/>
      </c>
      <c r="R261" s="15" t="str">
        <f t="shared" si="29"/>
        <v>OK</v>
      </c>
    </row>
  </sheetData>
  <autoFilter ref="A1:R261" xr:uid="{00000000-0009-0000-0000-000006000000}"/>
  <conditionalFormatting sqref="R2:R261">
    <cfRule type="cellIs" dxfId="10" priority="2" operator="equal">
      <formula>"CHECK"</formula>
    </cfRule>
    <cfRule type="cellIs" dxfId="9" priority="3" operator="equal">
      <formula>"OK"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B7F95"/>
    <pageSetUpPr fitToPage="1"/>
  </sheetPr>
  <dimension ref="A1:O1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3" customWidth="1"/>
    <col min="2" max="2" width="38" customWidth="1"/>
    <col min="3" max="6" width="12" customWidth="1"/>
    <col min="7" max="7" width="11" customWidth="1"/>
    <col min="8" max="8" width="13" customWidth="1"/>
    <col min="9" max="9" width="12" customWidth="1"/>
    <col min="10" max="10" width="9" customWidth="1"/>
    <col min="11" max="11" width="10" customWidth="1"/>
    <col min="12" max="12" width="12" customWidth="1"/>
    <col min="13" max="13" width="8" customWidth="1"/>
    <col min="14" max="14" width="9" customWidth="1"/>
    <col min="15" max="15" width="12" customWidth="1"/>
  </cols>
  <sheetData>
    <row r="1" spans="1:15" ht="17.399999999999999" x14ac:dyDescent="0.3">
      <c r="A1" s="1" t="s">
        <v>533</v>
      </c>
    </row>
    <row r="2" spans="1:15" x14ac:dyDescent="0.3">
      <c r="A2" s="2" t="s">
        <v>534</v>
      </c>
    </row>
    <row r="4" spans="1:15" ht="30" customHeight="1" x14ac:dyDescent="0.3">
      <c r="A4" s="21" t="s">
        <v>535</v>
      </c>
      <c r="B4" s="21" t="s">
        <v>536</v>
      </c>
      <c r="C4" s="21" t="s">
        <v>537</v>
      </c>
      <c r="D4" s="21" t="s">
        <v>538</v>
      </c>
      <c r="E4" s="21" t="s">
        <v>539</v>
      </c>
      <c r="F4" s="21" t="s">
        <v>540</v>
      </c>
      <c r="G4" s="21" t="s">
        <v>541</v>
      </c>
      <c r="H4" s="21" t="s">
        <v>542</v>
      </c>
      <c r="I4" s="21" t="s">
        <v>543</v>
      </c>
      <c r="J4" s="21" t="s">
        <v>544</v>
      </c>
      <c r="K4" s="21" t="s">
        <v>545</v>
      </c>
      <c r="L4" s="21" t="s">
        <v>546</v>
      </c>
      <c r="M4" s="21" t="s">
        <v>547</v>
      </c>
      <c r="N4" s="21" t="s">
        <v>548</v>
      </c>
      <c r="O4" s="21" t="s">
        <v>549</v>
      </c>
    </row>
    <row r="5" spans="1:15" x14ac:dyDescent="0.3">
      <c r="A5" s="32" t="str">
        <f>Items!A2</f>
        <v>PC-RCP-0600</v>
      </c>
      <c r="B5" s="32" t="str">
        <f>Items!B2</f>
        <v>Reinforced concrete pipe 600 mm x 2.44 m</v>
      </c>
      <c r="C5" s="32" t="str">
        <f>Items!C2</f>
        <v>Pipe</v>
      </c>
      <c r="D5" s="24">
        <f>SUMIFS(BOM!$L$2:$L$500,BOM!$A$2:$A$500,A5)</f>
        <v>119.94832</v>
      </c>
      <c r="E5" s="33">
        <f>Items!G2</f>
        <v>310</v>
      </c>
      <c r="F5" s="24">
        <f t="shared" ref="F5:F16" si="0">D5+E5</f>
        <v>429.94831999999997</v>
      </c>
      <c r="G5" s="33">
        <f>Items!F2</f>
        <v>640</v>
      </c>
      <c r="H5" s="24">
        <f>IFERROR(SUMIFS(Sales!$L$2:$L$500,Sales!$I$2:$I$500,A5)/SUMIFS(Sales!$M$2:$M$500,Sales!$I$2:$I$500,A5),"")</f>
        <v>622.57260736196326</v>
      </c>
      <c r="I5" s="24">
        <f t="shared" ref="I5:I16" si="1">IF(ISNUMBER(H5),H5-F5,"")</f>
        <v>192.6242873619633</v>
      </c>
      <c r="J5" s="31">
        <f t="shared" ref="J5:J16" si="2">IF(ISNUMBER(H5),I5/H5,"")</f>
        <v>0.3094005182434435</v>
      </c>
      <c r="K5" s="34">
        <f t="shared" ref="K5:K16" si="3">IF(ISNUMBER(H5),F5/H5,"")</f>
        <v>0.6905994817565565</v>
      </c>
      <c r="L5" s="31">
        <f>IF(D5&gt;0,SUMIFS(BOM!$L$2:$L$500,BOM!$A$2:$A$500,A5,BOM!$N$2:$N$500,"Domestic")/D5,"")</f>
        <v>0.73575019641792405</v>
      </c>
      <c r="M5" s="28">
        <f>COUNTIF(BOM!$A$2:$A$500,A5)</f>
        <v>9</v>
      </c>
      <c r="N5" s="28">
        <f>COUNTIFS(BOM!$A$2:$A$500,A5,BOM!$S$2:$S$500,"CHECK")</f>
        <v>0</v>
      </c>
      <c r="O5" s="15" t="str">
        <f t="shared" ref="O5:O16" si="4">IF(N5&gt;0,"Incomplete","Complete")</f>
        <v>Complete</v>
      </c>
    </row>
    <row r="6" spans="1:15" x14ac:dyDescent="0.3">
      <c r="A6" s="32" t="str">
        <f>Items!A3</f>
        <v>PC-RCP-0900</v>
      </c>
      <c r="B6" s="32" t="str">
        <f>Items!B3</f>
        <v>Reinforced concrete pipe 900 mm x 2.44 m</v>
      </c>
      <c r="C6" s="32" t="str">
        <f>Items!C3</f>
        <v>Pipe</v>
      </c>
      <c r="D6" s="24">
        <f>SUMIFS(BOM!$L$2:$L$500,BOM!$A$2:$A$500,A6)</f>
        <v>210.43372656870002</v>
      </c>
      <c r="E6" s="33">
        <f>Items!G3</f>
        <v>540</v>
      </c>
      <c r="F6" s="24">
        <f t="shared" si="0"/>
        <v>750.43372656869997</v>
      </c>
      <c r="G6" s="33">
        <f>Items!F3</f>
        <v>1150</v>
      </c>
      <c r="H6" s="24">
        <f>IFERROR(SUMIFS(Sales!$L$2:$L$500,Sales!$I$2:$I$500,A6)/SUMIFS(Sales!$M$2:$M$500,Sales!$I$2:$I$500,A6),"")</f>
        <v>1110.292521246459</v>
      </c>
      <c r="I6" s="24">
        <f t="shared" si="1"/>
        <v>359.85879467775908</v>
      </c>
      <c r="J6" s="31">
        <f t="shared" si="2"/>
        <v>0.32411169830610687</v>
      </c>
      <c r="K6" s="34">
        <f t="shared" si="3"/>
        <v>0.67588830169389313</v>
      </c>
      <c r="L6" s="31">
        <f>IF(D6&gt;0,SUMIFS(BOM!$L$2:$L$500,BOM!$A$2:$A$500,A6,BOM!$N$2:$N$500,"Domestic")/D6,"")</f>
        <v>0.77513205334720159</v>
      </c>
      <c r="M6" s="28">
        <f>COUNTIF(BOM!$A$2:$A$500,A6)</f>
        <v>9</v>
      </c>
      <c r="N6" s="28">
        <f>COUNTIFS(BOM!$A$2:$A$500,A6,BOM!$S$2:$S$500,"CHECK")</f>
        <v>0</v>
      </c>
      <c r="O6" s="15" t="str">
        <f t="shared" si="4"/>
        <v>Complete</v>
      </c>
    </row>
    <row r="7" spans="1:15" x14ac:dyDescent="0.3">
      <c r="A7" s="32" t="str">
        <f>Items!A4</f>
        <v>PC-RCP-1200</v>
      </c>
      <c r="B7" s="32" t="str">
        <f>Items!B4</f>
        <v>Reinforced concrete pipe 1200 mm x 2.44 m</v>
      </c>
      <c r="C7" s="32" t="str">
        <f>Items!C4</f>
        <v>Pipe</v>
      </c>
      <c r="D7" s="24">
        <f>SUMIFS(BOM!$L$2:$L$500,BOM!$A$2:$A$500,A7)</f>
        <v>346.40539999999999</v>
      </c>
      <c r="E7" s="33">
        <f>Items!G4</f>
        <v>860</v>
      </c>
      <c r="F7" s="24">
        <f t="shared" si="0"/>
        <v>1206.4054000000001</v>
      </c>
      <c r="G7" s="33">
        <f>Items!F4</f>
        <v>1890</v>
      </c>
      <c r="H7" s="24">
        <f>IFERROR(SUMIFS(Sales!$L$2:$L$500,Sales!$I$2:$I$500,A7)/SUMIFS(Sales!$M$2:$M$500,Sales!$I$2:$I$500,A7),"")</f>
        <v>1794.6886706349203</v>
      </c>
      <c r="I7" s="24">
        <f t="shared" si="1"/>
        <v>588.2832706349202</v>
      </c>
      <c r="J7" s="31">
        <f t="shared" si="2"/>
        <v>0.32779126556072752</v>
      </c>
      <c r="K7" s="34">
        <f t="shared" si="3"/>
        <v>0.67220873443927254</v>
      </c>
      <c r="L7" s="31">
        <f>IF(D7&gt;0,SUMIFS(BOM!$L$2:$L$500,BOM!$A$2:$A$500,A7,BOM!$N$2:$N$500,"Domestic")/D7,"")</f>
        <v>0.77262075013842157</v>
      </c>
      <c r="M7" s="28">
        <f>COUNTIF(BOM!$A$2:$A$500,A7)</f>
        <v>10</v>
      </c>
      <c r="N7" s="28">
        <f>COUNTIFS(BOM!$A$2:$A$500,A7,BOM!$S$2:$S$500,"CHECK")</f>
        <v>1</v>
      </c>
      <c r="O7" s="15" t="str">
        <f t="shared" si="4"/>
        <v>Incomplete</v>
      </c>
    </row>
    <row r="8" spans="1:15" x14ac:dyDescent="0.3">
      <c r="A8" s="32" t="str">
        <f>Items!A5</f>
        <v>PC-BOX-1812</v>
      </c>
      <c r="B8" s="32" t="str">
        <f>Items!B5</f>
        <v>Box culvert section 1.8 m x 1.2 m x 1.8 m</v>
      </c>
      <c r="C8" s="32" t="str">
        <f>Items!C5</f>
        <v>Box Culvert</v>
      </c>
      <c r="D8" s="24">
        <f>SUMIFS(BOM!$L$2:$L$500,BOM!$A$2:$A$500,A8)</f>
        <v>845.36239999999998</v>
      </c>
      <c r="E8" s="33">
        <f>Items!G5</f>
        <v>1950</v>
      </c>
      <c r="F8" s="24">
        <f t="shared" si="0"/>
        <v>2795.3624</v>
      </c>
      <c r="G8" s="33">
        <f>Items!F5</f>
        <v>4200</v>
      </c>
      <c r="H8" s="24">
        <f>IFERROR(SUMIFS(Sales!$L$2:$L$500,Sales!$I$2:$I$500,A8)/SUMIFS(Sales!$M$2:$M$500,Sales!$I$2:$I$500,A8),"")</f>
        <v>3972.33</v>
      </c>
      <c r="I8" s="24">
        <f t="shared" si="1"/>
        <v>1176.9675999999999</v>
      </c>
      <c r="J8" s="31">
        <f t="shared" si="2"/>
        <v>0.29629149642653052</v>
      </c>
      <c r="K8" s="34">
        <f t="shared" si="3"/>
        <v>0.70370850357346948</v>
      </c>
      <c r="L8" s="31">
        <f>IF(D8&gt;0,SUMIFS(BOM!$L$2:$L$500,BOM!$A$2:$A$500,A8,BOM!$N$2:$N$500,"Domestic")/D8,"")</f>
        <v>0.52408292585523086</v>
      </c>
      <c r="M8" s="28">
        <f>COUNTIF(BOM!$A$2:$A$500,A8)</f>
        <v>11</v>
      </c>
      <c r="N8" s="28">
        <f>COUNTIFS(BOM!$A$2:$A$500,A8,BOM!$S$2:$S$500,"CHECK")</f>
        <v>1</v>
      </c>
      <c r="O8" s="15" t="str">
        <f t="shared" si="4"/>
        <v>Incomplete</v>
      </c>
    </row>
    <row r="9" spans="1:15" x14ac:dyDescent="0.3">
      <c r="A9" s="32" t="str">
        <f>Items!A6</f>
        <v>PC-MH-1050B</v>
      </c>
      <c r="B9" s="32" t="str">
        <f>Items!B6</f>
        <v>Manhole base 1050 mm</v>
      </c>
      <c r="C9" s="32" t="str">
        <f>Items!C6</f>
        <v>Manhole</v>
      </c>
      <c r="D9" s="24">
        <f>SUMIFS(BOM!$L$2:$L$500,BOM!$A$2:$A$500,A9)</f>
        <v>165.43300000000002</v>
      </c>
      <c r="E9" s="33">
        <f>Items!G6</f>
        <v>470</v>
      </c>
      <c r="F9" s="24">
        <f t="shared" si="0"/>
        <v>635.43299999999999</v>
      </c>
      <c r="G9" s="33">
        <f>Items!F6</f>
        <v>980</v>
      </c>
      <c r="H9" s="24">
        <f>IFERROR(SUMIFS(Sales!$L$2:$L$500,Sales!$I$2:$I$500,A9)/SUMIFS(Sales!$M$2:$M$500,Sales!$I$2:$I$500,A9),"")</f>
        <v>929.3210256410257</v>
      </c>
      <c r="I9" s="24">
        <f t="shared" si="1"/>
        <v>293.88802564102571</v>
      </c>
      <c r="J9" s="31">
        <f t="shared" si="2"/>
        <v>0.31623950984893306</v>
      </c>
      <c r="K9" s="34">
        <f t="shared" si="3"/>
        <v>0.68376049015106699</v>
      </c>
      <c r="L9" s="31">
        <f>IF(D9&gt;0,SUMIFS(BOM!$L$2:$L$500,BOM!$A$2:$A$500,A9,BOM!$N$2:$N$500,"Domestic")/D9,"")</f>
        <v>0.84080866574383573</v>
      </c>
      <c r="M9" s="28">
        <f>COUNTIF(BOM!$A$2:$A$500,A9)</f>
        <v>9</v>
      </c>
      <c r="N9" s="28">
        <f>COUNTIFS(BOM!$A$2:$A$500,A9,BOM!$S$2:$S$500,"CHECK")</f>
        <v>0</v>
      </c>
      <c r="O9" s="15" t="str">
        <f t="shared" si="4"/>
        <v>Complete</v>
      </c>
    </row>
    <row r="10" spans="1:15" x14ac:dyDescent="0.3">
      <c r="A10" s="32" t="str">
        <f>Items!A7</f>
        <v>PC-MH-1200B</v>
      </c>
      <c r="B10" s="32" t="str">
        <f>Items!B7</f>
        <v>Manhole base 1200 mm</v>
      </c>
      <c r="C10" s="32" t="str">
        <f>Items!C7</f>
        <v>Manhole</v>
      </c>
      <c r="D10" s="24">
        <f>SUMIFS(BOM!$L$2:$L$500,BOM!$A$2:$A$500,A10)</f>
        <v>153.42079999999999</v>
      </c>
      <c r="E10" s="33">
        <f>Items!G7</f>
        <v>600</v>
      </c>
      <c r="F10" s="24">
        <f t="shared" si="0"/>
        <v>753.42079999999999</v>
      </c>
      <c r="G10" s="33">
        <f>Items!F7</f>
        <v>1240</v>
      </c>
      <c r="H10" s="24">
        <f>IFERROR(SUMIFS(Sales!$L$2:$L$500,Sales!$I$2:$I$500,A10)/SUMIFS(Sales!$M$2:$M$500,Sales!$I$2:$I$500,A10),"")</f>
        <v>1207.0383516483516</v>
      </c>
      <c r="I10" s="24">
        <f t="shared" si="1"/>
        <v>453.61755164835165</v>
      </c>
      <c r="J10" s="31">
        <f t="shared" si="2"/>
        <v>0.37581038831855174</v>
      </c>
      <c r="K10" s="34">
        <f t="shared" si="3"/>
        <v>0.62418961168144826</v>
      </c>
      <c r="L10" s="31">
        <f>IF(D10&gt;0,SUMIFS(BOM!$L$2:$L$500,BOM!$A$2:$A$500,A10,BOM!$N$2:$N$500,"Domestic")/D10,"")</f>
        <v>0.80655621662773236</v>
      </c>
      <c r="M10" s="28">
        <f>COUNTIF(BOM!$A$2:$A$500,A10)</f>
        <v>9</v>
      </c>
      <c r="N10" s="28">
        <f>COUNTIFS(BOM!$A$2:$A$500,A10,BOM!$S$2:$S$500,"CHECK")</f>
        <v>1</v>
      </c>
      <c r="O10" s="15" t="str">
        <f t="shared" si="4"/>
        <v>Incomplete</v>
      </c>
    </row>
    <row r="11" spans="1:15" x14ac:dyDescent="0.3">
      <c r="A11" s="32" t="str">
        <f>Items!A8</f>
        <v>PC-MH-1200R</v>
      </c>
      <c r="B11" s="32" t="str">
        <f>Items!B8</f>
        <v>Manhole riser 1200 mm x 600 mm</v>
      </c>
      <c r="C11" s="32" t="str">
        <f>Items!C8</f>
        <v>Manhole</v>
      </c>
      <c r="D11" s="24">
        <f>SUMIFS(BOM!$L$2:$L$500,BOM!$A$2:$A$500,A11)</f>
        <v>81.984279999999998</v>
      </c>
      <c r="E11" s="33">
        <f>Items!G8</f>
        <v>300</v>
      </c>
      <c r="F11" s="24">
        <f t="shared" si="0"/>
        <v>381.98428000000001</v>
      </c>
      <c r="G11" s="33">
        <f>Items!F8</f>
        <v>520</v>
      </c>
      <c r="H11" s="24">
        <f>IFERROR(SUMIFS(Sales!$L$2:$L$500,Sales!$I$2:$I$500,A11)/SUMIFS(Sales!$M$2:$M$500,Sales!$I$2:$I$500,A11),"")</f>
        <v>506.7232222222222</v>
      </c>
      <c r="I11" s="24">
        <f t="shared" si="1"/>
        <v>124.73894222222219</v>
      </c>
      <c r="J11" s="31">
        <f t="shared" si="2"/>
        <v>0.24616780276061284</v>
      </c>
      <c r="K11" s="34">
        <f t="shared" si="3"/>
        <v>0.7538321972393871</v>
      </c>
      <c r="L11" s="31">
        <f>IF(D11&gt;0,SUMIFS(BOM!$L$2:$L$500,BOM!$A$2:$A$500,A11,BOM!$N$2:$N$500,"Domestic")/D11,"")</f>
        <v>0.66839642916910402</v>
      </c>
      <c r="M11" s="28">
        <f>COUNTIF(BOM!$A$2:$A$500,A11)</f>
        <v>9</v>
      </c>
      <c r="N11" s="28">
        <f>COUNTIFS(BOM!$A$2:$A$500,A11,BOM!$S$2:$S$500,"CHECK")</f>
        <v>1</v>
      </c>
      <c r="O11" s="15" t="str">
        <f t="shared" si="4"/>
        <v>Incomplete</v>
      </c>
    </row>
    <row r="12" spans="1:15" x14ac:dyDescent="0.3">
      <c r="A12" s="32" t="str">
        <f>Items!A9</f>
        <v>PC-CB-0600</v>
      </c>
      <c r="B12" s="32" t="str">
        <f>Items!B9</f>
        <v>Catch basin 600 mm x 600 mm</v>
      </c>
      <c r="C12" s="32" t="str">
        <f>Items!C9</f>
        <v>Catch Basin</v>
      </c>
      <c r="D12" s="24">
        <f>SUMIFS(BOM!$L$2:$L$500,BOM!$A$2:$A$500,A12)</f>
        <v>301.04880000000003</v>
      </c>
      <c r="E12" s="33">
        <f>Items!G9</f>
        <v>170</v>
      </c>
      <c r="F12" s="24">
        <f t="shared" si="0"/>
        <v>471.04880000000003</v>
      </c>
      <c r="G12" s="33">
        <f>Items!F9</f>
        <v>690</v>
      </c>
      <c r="H12" s="24">
        <f>IFERROR(SUMIFS(Sales!$L$2:$L$500,Sales!$I$2:$I$500,A12)/SUMIFS(Sales!$M$2:$M$500,Sales!$I$2:$I$500,A12),"")</f>
        <v>668.00837209302324</v>
      </c>
      <c r="I12" s="24">
        <f t="shared" si="1"/>
        <v>196.95957209302321</v>
      </c>
      <c r="J12" s="31">
        <f t="shared" si="2"/>
        <v>0.29484596349579234</v>
      </c>
      <c r="K12" s="34">
        <f t="shared" si="3"/>
        <v>0.7051540365042076</v>
      </c>
      <c r="L12" s="31">
        <f>IF(D12&gt;0,SUMIFS(BOM!$L$2:$L$500,BOM!$A$2:$A$500,A12,BOM!$N$2:$N$500,"Domestic")/D12,"")</f>
        <v>0.27745501725966021</v>
      </c>
      <c r="M12" s="28">
        <f>COUNTIF(BOM!$A$2:$A$500,A12)</f>
        <v>9</v>
      </c>
      <c r="N12" s="28">
        <f>COUNTIFS(BOM!$A$2:$A$500,A12,BOM!$S$2:$S$500,"CHECK")</f>
        <v>0</v>
      </c>
      <c r="O12" s="15" t="str">
        <f t="shared" si="4"/>
        <v>Complete</v>
      </c>
    </row>
    <row r="13" spans="1:15" x14ac:dyDescent="0.3">
      <c r="A13" s="32" t="str">
        <f>Items!A10</f>
        <v>PC-BAR-F38</v>
      </c>
      <c r="B13" s="32" t="str">
        <f>Items!B10</f>
        <v>F-shape traffic barrier 3.8 m</v>
      </c>
      <c r="C13" s="32" t="str">
        <f>Items!C10</f>
        <v>Barrier</v>
      </c>
      <c r="D13" s="24">
        <f>SUMIFS(BOM!$L$2:$L$500,BOM!$A$2:$A$500,A13)</f>
        <v>328.66328000000004</v>
      </c>
      <c r="E13" s="33">
        <f>Items!G10</f>
        <v>650</v>
      </c>
      <c r="F13" s="24">
        <f t="shared" si="0"/>
        <v>978.66327999999999</v>
      </c>
      <c r="G13" s="33">
        <f>Items!F10</f>
        <v>1450</v>
      </c>
      <c r="H13" s="24">
        <f>IFERROR(SUMIFS(Sales!$L$2:$L$500,Sales!$I$2:$I$500,A13)/SUMIFS(Sales!$M$2:$M$500,Sales!$I$2:$I$500,A13),"")</f>
        <v>1408.040464396285</v>
      </c>
      <c r="I13" s="24">
        <f t="shared" si="1"/>
        <v>429.37718439628497</v>
      </c>
      <c r="J13" s="31">
        <f t="shared" si="2"/>
        <v>0.30494662280915757</v>
      </c>
      <c r="K13" s="34">
        <f t="shared" si="3"/>
        <v>0.69505337719084248</v>
      </c>
      <c r="L13" s="31">
        <f>IF(D13&gt;0,SUMIFS(BOM!$L$2:$L$500,BOM!$A$2:$A$500,A13,BOM!$N$2:$N$500,"Domestic")/D13,"")</f>
        <v>0.88071292905005993</v>
      </c>
      <c r="M13" s="28">
        <f>COUNTIF(BOM!$A$2:$A$500,A13)</f>
        <v>9</v>
      </c>
      <c r="N13" s="28">
        <f>COUNTIFS(BOM!$A$2:$A$500,A13,BOM!$S$2:$S$500,"CHECK")</f>
        <v>0</v>
      </c>
      <c r="O13" s="15" t="str">
        <f t="shared" si="4"/>
        <v>Complete</v>
      </c>
    </row>
    <row r="14" spans="1:15" x14ac:dyDescent="0.3">
      <c r="A14" s="32" t="str">
        <f>Items!A11</f>
        <v>PC-BAR-SS60</v>
      </c>
      <c r="B14" s="32" t="str">
        <f>Items!B11</f>
        <v>Single-slope traffic barrier 6.0 m</v>
      </c>
      <c r="C14" s="32" t="str">
        <f>Items!C11</f>
        <v>Barrier</v>
      </c>
      <c r="D14" s="24">
        <f>SUMIFS(BOM!$L$2:$L$500,BOM!$A$2:$A$500,A14)</f>
        <v>603.54539999999997</v>
      </c>
      <c r="E14" s="33">
        <f>Items!G11</f>
        <v>980</v>
      </c>
      <c r="F14" s="24">
        <f t="shared" si="0"/>
        <v>1583.5454</v>
      </c>
      <c r="G14" s="33">
        <f>Items!F11</f>
        <v>2350</v>
      </c>
      <c r="H14" s="24">
        <f>IFERROR(SUMIFS(Sales!$L$2:$L$500,Sales!$I$2:$I$500,A14)/SUMIFS(Sales!$M$2:$M$500,Sales!$I$2:$I$500,A14),"")</f>
        <v>2275.6626293103445</v>
      </c>
      <c r="I14" s="24">
        <f t="shared" si="1"/>
        <v>692.11722931034456</v>
      </c>
      <c r="J14" s="31">
        <f t="shared" si="2"/>
        <v>0.30413876837275106</v>
      </c>
      <c r="K14" s="34">
        <f t="shared" si="3"/>
        <v>0.69586123162724889</v>
      </c>
      <c r="L14" s="31">
        <f>IF(D14&gt;0,SUMIFS(BOM!$L$2:$L$500,BOM!$A$2:$A$500,A14,BOM!$N$2:$N$500,"Domestic")/D14,"")</f>
        <v>0.8206921964776801</v>
      </c>
      <c r="M14" s="28">
        <f>COUNTIF(BOM!$A$2:$A$500,A14)</f>
        <v>11</v>
      </c>
      <c r="N14" s="28">
        <f>COUNTIFS(BOM!$A$2:$A$500,A14,BOM!$S$2:$S$500,"CHECK")</f>
        <v>1</v>
      </c>
      <c r="O14" s="15" t="str">
        <f t="shared" si="4"/>
        <v>Incomplete</v>
      </c>
    </row>
    <row r="15" spans="1:15" x14ac:dyDescent="0.3">
      <c r="A15" s="32" t="str">
        <f>Items!A12</f>
        <v>PC-HC-200</v>
      </c>
      <c r="B15" s="32" t="str">
        <f>Items!B12</f>
        <v>Hollow-core slab 200 mm (per m2)</v>
      </c>
      <c r="C15" s="32" t="str">
        <f>Items!C12</f>
        <v>Slab</v>
      </c>
      <c r="D15" s="24">
        <f>SUMIFS(BOM!$L$2:$L$500,BOM!$A$2:$A$500,A15)</f>
        <v>26.893820000000002</v>
      </c>
      <c r="E15" s="33">
        <f>Items!G12</f>
        <v>52</v>
      </c>
      <c r="F15" s="24">
        <f t="shared" si="0"/>
        <v>78.893820000000005</v>
      </c>
      <c r="G15" s="33">
        <f>Items!F12</f>
        <v>118</v>
      </c>
      <c r="H15" s="24">
        <f>IFERROR(SUMIFS(Sales!$L$2:$L$500,Sales!$I$2:$I$500,A15)/SUMIFS(Sales!$M$2:$M$500,Sales!$I$2:$I$500,A15),"")</f>
        <v>115.20149871747894</v>
      </c>
      <c r="I15" s="24">
        <f t="shared" si="1"/>
        <v>36.307678717478936</v>
      </c>
      <c r="J15" s="31">
        <f t="shared" si="2"/>
        <v>0.31516672197572854</v>
      </c>
      <c r="K15" s="34">
        <f t="shared" si="3"/>
        <v>0.68483327802427141</v>
      </c>
      <c r="L15" s="31">
        <f>IF(D15&gt;0,SUMIFS(BOM!$L$2:$L$500,BOM!$A$2:$A$500,A15,BOM!$N$2:$N$500,"Domestic")/D15,"")</f>
        <v>0.62884335509050027</v>
      </c>
      <c r="M15" s="28">
        <f>COUNTIF(BOM!$A$2:$A$500,A15)</f>
        <v>8</v>
      </c>
      <c r="N15" s="28">
        <f>COUNTIFS(BOM!$A$2:$A$500,A15,BOM!$S$2:$S$500,"CHECK")</f>
        <v>0</v>
      </c>
      <c r="O15" s="15" t="str">
        <f t="shared" si="4"/>
        <v>Complete</v>
      </c>
    </row>
    <row r="16" spans="1:15" x14ac:dyDescent="0.3">
      <c r="A16" s="32" t="str">
        <f>Items!A13</f>
        <v>PC-HC-250</v>
      </c>
      <c r="B16" s="32" t="str">
        <f>Items!B13</f>
        <v>Hollow-core slab 250 mm (per m2)</v>
      </c>
      <c r="C16" s="32" t="str">
        <f>Items!C13</f>
        <v>Slab</v>
      </c>
      <c r="D16" s="24">
        <f>SUMIFS(BOM!$L$2:$L$500,BOM!$A$2:$A$500,A16)</f>
        <v>32.940240000000003</v>
      </c>
      <c r="E16" s="33">
        <f>Items!G13</f>
        <v>60</v>
      </c>
      <c r="F16" s="24">
        <f t="shared" si="0"/>
        <v>92.940240000000003</v>
      </c>
      <c r="G16" s="33">
        <f>Items!F13</f>
        <v>136</v>
      </c>
      <c r="H16" s="24">
        <f>IFERROR(SUMIFS(Sales!$L$2:$L$500,Sales!$I$2:$I$500,A16)/SUMIFS(Sales!$M$2:$M$500,Sales!$I$2:$I$500,A16),"")</f>
        <v>133.72618640920905</v>
      </c>
      <c r="I16" s="24">
        <f t="shared" si="1"/>
        <v>40.785946409209046</v>
      </c>
      <c r="J16" s="31">
        <f t="shared" si="2"/>
        <v>0.30499595856567646</v>
      </c>
      <c r="K16" s="34">
        <f t="shared" si="3"/>
        <v>0.69500404143432359</v>
      </c>
      <c r="L16" s="31">
        <f>IF(D16&gt;0,SUMIFS(BOM!$L$2:$L$500,BOM!$A$2:$A$500,A16,BOM!$N$2:$N$500,"Domestic")/D16,"")</f>
        <v>0.63184117662773542</v>
      </c>
      <c r="M16" s="28">
        <f>COUNTIF(BOM!$A$2:$A$500,A16)</f>
        <v>8</v>
      </c>
      <c r="N16" s="28">
        <f>COUNTIFS(BOM!$A$2:$A$500,A16,BOM!$S$2:$S$500,"CHECK")</f>
        <v>0</v>
      </c>
      <c r="O16" s="15" t="str">
        <f t="shared" si="4"/>
        <v>Complete</v>
      </c>
    </row>
    <row r="18" spans="1:1" x14ac:dyDescent="0.3">
      <c r="A18" s="2" t="s">
        <v>550</v>
      </c>
    </row>
  </sheetData>
  <conditionalFormatting sqref="O5:O16">
    <cfRule type="cellIs" dxfId="8" priority="2" operator="equal">
      <formula>"Incomplete"</formula>
    </cfRule>
    <cfRule type="cellIs" dxfId="7" priority="3" operator="equal">
      <formula>"Complete"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B7F95"/>
    <pageSetUpPr fitToPage="1"/>
  </sheetPr>
  <dimension ref="A1:L17"/>
  <sheetViews>
    <sheetView zoomScaleNormal="100" workbookViewId="0"/>
  </sheetViews>
  <sheetFormatPr defaultColWidth="8.6640625" defaultRowHeight="14.4" x14ac:dyDescent="0.3"/>
  <cols>
    <col min="1" max="1" width="14" customWidth="1"/>
    <col min="2" max="2" width="16" customWidth="1"/>
    <col min="3" max="3" width="11" customWidth="1"/>
    <col min="4" max="4" width="10" customWidth="1"/>
    <col min="5" max="5" width="4" customWidth="1"/>
    <col min="6" max="6" width="11" customWidth="1"/>
    <col min="7" max="7" width="26" customWidth="1"/>
    <col min="8" max="8" width="9" customWidth="1"/>
    <col min="9" max="9" width="10" customWidth="1"/>
    <col min="10" max="10" width="16" customWidth="1"/>
    <col min="11" max="11" width="11" customWidth="1"/>
    <col min="12" max="12" width="15" customWidth="1"/>
  </cols>
  <sheetData>
    <row r="1" spans="1:12" ht="17.399999999999999" x14ac:dyDescent="0.3">
      <c r="A1" s="1" t="s">
        <v>551</v>
      </c>
    </row>
    <row r="2" spans="1:12" x14ac:dyDescent="0.3">
      <c r="A2" s="2" t="s">
        <v>552</v>
      </c>
    </row>
    <row r="4" spans="1:12" ht="30" customHeight="1" x14ac:dyDescent="0.3">
      <c r="A4" s="21" t="s">
        <v>553</v>
      </c>
      <c r="B4" s="21" t="s">
        <v>554</v>
      </c>
      <c r="C4" s="21" t="s">
        <v>555</v>
      </c>
      <c r="D4" s="21" t="s">
        <v>547</v>
      </c>
      <c r="E4" s="35"/>
      <c r="F4" s="21" t="s">
        <v>556</v>
      </c>
      <c r="G4" s="21" t="s">
        <v>557</v>
      </c>
      <c r="H4" s="21" t="s">
        <v>558</v>
      </c>
      <c r="I4" s="21" t="s">
        <v>559</v>
      </c>
      <c r="J4" s="21" t="s">
        <v>554</v>
      </c>
      <c r="K4" s="21" t="s">
        <v>555</v>
      </c>
      <c r="L4" s="21" t="s">
        <v>560</v>
      </c>
    </row>
    <row r="5" spans="1:12" x14ac:dyDescent="0.3">
      <c r="A5" s="12" t="s">
        <v>70</v>
      </c>
      <c r="B5" s="29">
        <f>SUMIFS(BOM!$Q$2:$Q$500,BOM!$M$2:$M$500,A5)</f>
        <v>1007765.7316241442</v>
      </c>
      <c r="C5" s="31">
        <f t="shared" ref="C5:C12" si="0">IF($B$13&gt;0,B5/$B$13,0)</f>
        <v>0.73965443321429802</v>
      </c>
      <c r="D5" s="28">
        <f>COUNTIF(BOM!$M$2:$M$500,A5)</f>
        <v>59</v>
      </c>
      <c r="F5" s="32" t="str">
        <f>Suppliers!A2</f>
        <v>SUP-01</v>
      </c>
      <c r="G5" s="32" t="str">
        <f>Suppliers!B2</f>
        <v>Prairie Cement Co.</v>
      </c>
      <c r="H5" s="32" t="str">
        <f>Suppliers!C2</f>
        <v>CA</v>
      </c>
      <c r="I5" s="36">
        <f>Suppliers!E2</f>
        <v>7</v>
      </c>
      <c r="J5" s="29">
        <f>SUMIFS(BOM!$Q$2:$Q$500,BOM!$O$2:$O$500,F5)</f>
        <v>453017.37249999994</v>
      </c>
      <c r="K5" s="31">
        <f t="shared" ref="K5:K16" si="1">IF($B$13&gt;0,J5/$B$13,0)</f>
        <v>0.33249424680545486</v>
      </c>
      <c r="L5" s="32" t="str">
        <f>Suppliers!F2</f>
        <v/>
      </c>
    </row>
    <row r="6" spans="1:12" x14ac:dyDescent="0.3">
      <c r="A6" s="12" t="s">
        <v>147</v>
      </c>
      <c r="B6" s="29">
        <f>SUMIFS(BOM!$Q$2:$Q$500,BOM!$M$2:$M$500,A6)</f>
        <v>93872.51234000003</v>
      </c>
      <c r="C6" s="31">
        <f t="shared" si="0"/>
        <v>6.8898175171470011E-2</v>
      </c>
      <c r="D6" s="28">
        <f>COUNTIF(BOM!$M$2:$M$500,A6)</f>
        <v>37</v>
      </c>
      <c r="F6" s="32" t="str">
        <f>Suppliers!A3</f>
        <v>SUP-02</v>
      </c>
      <c r="G6" s="32" t="str">
        <f>Suppliers!B3</f>
        <v>Great Plains Ash Inc.</v>
      </c>
      <c r="H6" s="32" t="str">
        <f>Suppliers!C3</f>
        <v>US</v>
      </c>
      <c r="I6" s="36">
        <f>Suppliers!E3</f>
        <v>14</v>
      </c>
      <c r="J6" s="29">
        <f>SUMIFS(BOM!$Q$2:$Q$500,BOM!$O$2:$O$500,F6)</f>
        <v>38030.326488000006</v>
      </c>
      <c r="K6" s="31">
        <f t="shared" si="1"/>
        <v>2.7912538302034107E-2</v>
      </c>
      <c r="L6" s="32" t="str">
        <f>Suppliers!F3</f>
        <v/>
      </c>
    </row>
    <row r="7" spans="1:12" x14ac:dyDescent="0.3">
      <c r="A7" s="12" t="s">
        <v>164</v>
      </c>
      <c r="B7" s="29">
        <f>SUMIFS(BOM!$Q$2:$Q$500,BOM!$M$2:$M$500,A7)</f>
        <v>21299.390000000003</v>
      </c>
      <c r="C7" s="31">
        <f t="shared" si="0"/>
        <v>1.5632788200557669E-2</v>
      </c>
      <c r="D7" s="28">
        <f>COUNTIF(BOM!$M$2:$M$500,A7)</f>
        <v>2</v>
      </c>
      <c r="F7" s="32" t="str">
        <f>Suppliers!A4</f>
        <v>SUP-03</v>
      </c>
      <c r="G7" s="32" t="str">
        <f>Suppliers!B4</f>
        <v>Red Valley Aggregates</v>
      </c>
      <c r="H7" s="32" t="str">
        <f>Suppliers!C4</f>
        <v>CA</v>
      </c>
      <c r="I7" s="36">
        <f>Suppliers!E4</f>
        <v>3</v>
      </c>
      <c r="J7" s="29">
        <f>SUMIFS(BOM!$Q$2:$Q$500,BOM!$O$2:$O$500,F7)</f>
        <v>261070.19399999999</v>
      </c>
      <c r="K7" s="31">
        <f t="shared" si="1"/>
        <v>0.19161370575779405</v>
      </c>
      <c r="L7" s="32" t="str">
        <f>Suppliers!F4</f>
        <v/>
      </c>
    </row>
    <row r="8" spans="1:12" x14ac:dyDescent="0.3">
      <c r="A8" s="12" t="s">
        <v>156</v>
      </c>
      <c r="B8" s="29">
        <f>SUMIFS(BOM!$Q$2:$Q$500,BOM!$M$2:$M$500,A8)</f>
        <v>77541.726000000024</v>
      </c>
      <c r="C8" s="31">
        <f t="shared" si="0"/>
        <v>5.6912117166908353E-2</v>
      </c>
      <c r="D8" s="28">
        <f>COUNTIF(BOM!$M$2:$M$500,A8)</f>
        <v>2</v>
      </c>
      <c r="F8" s="32" t="str">
        <f>Suppliers!A5</f>
        <v>SUP-04</v>
      </c>
      <c r="G8" s="32" t="str">
        <f>Suppliers!B5</f>
        <v>Midwest Admix Solutions</v>
      </c>
      <c r="H8" s="32" t="str">
        <f>Suppliers!C5</f>
        <v>US</v>
      </c>
      <c r="I8" s="36">
        <f>Suppliers!E5</f>
        <v>10</v>
      </c>
      <c r="J8" s="29">
        <f>SUMIFS(BOM!$Q$2:$Q$500,BOM!$O$2:$O$500,F8)</f>
        <v>54027.209852000007</v>
      </c>
      <c r="K8" s="31">
        <f t="shared" si="1"/>
        <v>3.9653526635429405E-2</v>
      </c>
      <c r="L8" s="32" t="str">
        <f>Suppliers!F5</f>
        <v/>
      </c>
    </row>
    <row r="9" spans="1:12" x14ac:dyDescent="0.3">
      <c r="A9" s="12" t="s">
        <v>161</v>
      </c>
      <c r="B9" s="29">
        <f>SUMIFS(BOM!$Q$2:$Q$500,BOM!$M$2:$M$500,A9)</f>
        <v>71093.957999999999</v>
      </c>
      <c r="C9" s="31">
        <f t="shared" si="0"/>
        <v>5.2179747295736753E-2</v>
      </c>
      <c r="D9" s="28">
        <f>COUNTIF(BOM!$M$2:$M$500,A9)</f>
        <v>2</v>
      </c>
      <c r="F9" s="32" t="str">
        <f>Suppliers!A6</f>
        <v>SUP-05</v>
      </c>
      <c r="G9" s="32" t="str">
        <f>Suppliers!B6</f>
        <v>Northern Rebar Mills</v>
      </c>
      <c r="H9" s="32" t="str">
        <f>Suppliers!C6</f>
        <v>CA</v>
      </c>
      <c r="I9" s="36">
        <f>Suppliers!E6</f>
        <v>10</v>
      </c>
      <c r="J9" s="29">
        <f>SUMIFS(BOM!$Q$2:$Q$500,BOM!$O$2:$O$500,F9)</f>
        <v>291095.12712414423</v>
      </c>
      <c r="K9" s="31">
        <f t="shared" si="1"/>
        <v>0.21365064767329753</v>
      </c>
      <c r="L9" s="32" t="str">
        <f>Suppliers!F6</f>
        <v/>
      </c>
    </row>
    <row r="10" spans="1:12" x14ac:dyDescent="0.3">
      <c r="A10" s="12" t="s">
        <v>167</v>
      </c>
      <c r="B10" s="29">
        <f>SUMIFS(BOM!$Q$2:$Q$500,BOM!$M$2:$M$500,A10)</f>
        <v>31312.199999999997</v>
      </c>
      <c r="C10" s="31">
        <f t="shared" si="0"/>
        <v>2.2981737537718299E-2</v>
      </c>
      <c r="D10" s="28">
        <f>COUNTIF(BOM!$M$2:$M$500,A10)</f>
        <v>6</v>
      </c>
      <c r="F10" s="32" t="str">
        <f>Suppliers!A7</f>
        <v>SUP-06</v>
      </c>
      <c r="G10" s="32" t="str">
        <f>Suppliers!B7</f>
        <v>Anatolia Steel Trading</v>
      </c>
      <c r="H10" s="32" t="str">
        <f>Suppliers!C7</f>
        <v>TR</v>
      </c>
      <c r="I10" s="36">
        <f>Suppliers!E7</f>
        <v>60</v>
      </c>
      <c r="J10" s="29">
        <f>SUMIFS(BOM!$Q$2:$Q$500,BOM!$O$2:$O$500,F10)</f>
        <v>77541.726000000024</v>
      </c>
      <c r="K10" s="31">
        <f t="shared" si="1"/>
        <v>5.6912117166908353E-2</v>
      </c>
      <c r="L10" s="32" t="str">
        <f>Suppliers!F7</f>
        <v>Long lead time</v>
      </c>
    </row>
    <row r="11" spans="1:12" x14ac:dyDescent="0.3">
      <c r="A11" s="12" t="s">
        <v>221</v>
      </c>
      <c r="B11" s="29">
        <f>SUMIFS(BOM!$Q$2:$Q$500,BOM!$M$2:$M$500,A11)</f>
        <v>36120</v>
      </c>
      <c r="C11" s="31">
        <f t="shared" si="0"/>
        <v>2.6510445125618291E-2</v>
      </c>
      <c r="D11" s="28">
        <f>COUNTIF(BOM!$M$2:$M$500,A11)</f>
        <v>1</v>
      </c>
      <c r="F11" s="32" t="str">
        <f>Suppliers!A8</f>
        <v>SUP-07</v>
      </c>
      <c r="G11" s="32" t="str">
        <f>Suppliers!B8</f>
        <v>Lakeside Wire Products</v>
      </c>
      <c r="H11" s="32" t="str">
        <f>Suppliers!C8</f>
        <v>US</v>
      </c>
      <c r="I11" s="36">
        <f>Suppliers!E8</f>
        <v>14</v>
      </c>
      <c r="J11" s="29">
        <f>SUMIFS(BOM!$Q$2:$Q$500,BOM!$O$2:$O$500,F11)</f>
        <v>1814.9759999999999</v>
      </c>
      <c r="K11" s="31">
        <f t="shared" si="1"/>
        <v>1.3321102340064833E-3</v>
      </c>
      <c r="L11" s="32" t="str">
        <f>Suppliers!F8</f>
        <v/>
      </c>
    </row>
    <row r="12" spans="1:12" x14ac:dyDescent="0.3">
      <c r="A12" s="12" t="s">
        <v>561</v>
      </c>
      <c r="B12" s="29">
        <f>SUMIFS(BOM!$Q$2:$Q$500,BOM!$M$2:$M$500,A12)</f>
        <v>23476.320000000003</v>
      </c>
      <c r="C12" s="31">
        <f t="shared" si="0"/>
        <v>1.7230556287692562E-2</v>
      </c>
      <c r="D12" s="28">
        <f>COUNTIF(BOM!$M$2:$M$500,A12)</f>
        <v>1</v>
      </c>
      <c r="F12" s="32" t="str">
        <f>Suppliers!A9</f>
        <v>SUP-08</v>
      </c>
      <c r="G12" s="32" t="str">
        <f>Suppliers!B9</f>
        <v>Hanbit Strand Co.</v>
      </c>
      <c r="H12" s="32" t="str">
        <f>Suppliers!C9</f>
        <v>KR</v>
      </c>
      <c r="I12" s="36">
        <f>Suppliers!E9</f>
        <v>55</v>
      </c>
      <c r="J12" s="29">
        <f>SUMIFS(BOM!$Q$2:$Q$500,BOM!$O$2:$O$500,F12)</f>
        <v>71093.957999999999</v>
      </c>
      <c r="K12" s="31">
        <f t="shared" si="1"/>
        <v>5.2179747295736753E-2</v>
      </c>
      <c r="L12" s="32" t="str">
        <f>Suppliers!F9</f>
        <v>Long lead time</v>
      </c>
    </row>
    <row r="13" spans="1:12" x14ac:dyDescent="0.3">
      <c r="A13" s="37" t="s">
        <v>562</v>
      </c>
      <c r="B13" s="38">
        <f>SUM(B5:B12)</f>
        <v>1362481.8379641443</v>
      </c>
      <c r="C13" s="39">
        <f>SUM(C5:C12)</f>
        <v>0.99999999999999989</v>
      </c>
      <c r="D13" s="40">
        <f>SUM(D5:D12)</f>
        <v>110</v>
      </c>
      <c r="F13" s="32" t="str">
        <f>Suppliers!A10</f>
        <v>SUP-09</v>
      </c>
      <c r="G13" s="32" t="str">
        <f>Suppliers!B10</f>
        <v>Sierra Rubber Works</v>
      </c>
      <c r="H13" s="32" t="str">
        <f>Suppliers!C10</f>
        <v>MX</v>
      </c>
      <c r="I13" s="36">
        <f>Suppliers!E10</f>
        <v>21</v>
      </c>
      <c r="J13" s="29">
        <f>SUMIFS(BOM!$Q$2:$Q$500,BOM!$O$2:$O$500,F13)</f>
        <v>44775.710000000006</v>
      </c>
      <c r="K13" s="31">
        <f t="shared" si="1"/>
        <v>3.2863344488250235E-2</v>
      </c>
      <c r="L13" s="32" t="str">
        <f>Suppliers!F10</f>
        <v/>
      </c>
    </row>
    <row r="14" spans="1:12" x14ac:dyDescent="0.3">
      <c r="A14" s="15" t="s">
        <v>563</v>
      </c>
      <c r="B14" s="29">
        <f>SUM(BOM!$Q$2:$Q$500)</f>
        <v>1362481.8379641443</v>
      </c>
      <c r="F14" s="32" t="str">
        <f>Suppliers!A11</f>
        <v>SUP-10</v>
      </c>
      <c r="G14" s="32" t="str">
        <f>Suppliers!B11</f>
        <v>Rhein Lifting Systems</v>
      </c>
      <c r="H14" s="32" t="str">
        <f>Suppliers!C11</f>
        <v>DE</v>
      </c>
      <c r="I14" s="36">
        <f>Suppliers!E11</f>
        <v>45</v>
      </c>
      <c r="J14" s="29">
        <f>SUMIFS(BOM!$Q$2:$Q$500,BOM!$O$2:$O$500,F14)</f>
        <v>31312.199999999997</v>
      </c>
      <c r="K14" s="31">
        <f t="shared" si="1"/>
        <v>2.2981737537718299E-2</v>
      </c>
      <c r="L14" s="32" t="str">
        <f>Suppliers!F11</f>
        <v>Long lead time</v>
      </c>
    </row>
    <row r="15" spans="1:12" x14ac:dyDescent="0.3">
      <c r="A15" s="15" t="s">
        <v>564</v>
      </c>
      <c r="B15" s="29">
        <f>B14-B13</f>
        <v>0</v>
      </c>
      <c r="F15" s="32" t="str">
        <f>Suppliers!A12</f>
        <v>SUP-12</v>
      </c>
      <c r="G15" s="32" t="str">
        <f>Suppliers!B12</f>
        <v>Westway Site Supply</v>
      </c>
      <c r="H15" s="32" t="str">
        <f>Suppliers!C12</f>
        <v>CA</v>
      </c>
      <c r="I15" s="36">
        <f>Suppliers!E12</f>
        <v>5</v>
      </c>
      <c r="J15" s="29">
        <f>SUMIFS(BOM!$Q$2:$Q$500,BOM!$O$2:$O$500,F15)</f>
        <v>2583.038</v>
      </c>
      <c r="K15" s="31">
        <f t="shared" si="1"/>
        <v>1.8958329777515731E-3</v>
      </c>
      <c r="L15" s="32" t="str">
        <f>Suppliers!F12</f>
        <v/>
      </c>
    </row>
    <row r="16" spans="1:12" x14ac:dyDescent="0.3">
      <c r="A16" s="2" t="s">
        <v>565</v>
      </c>
      <c r="F16" s="15" t="s">
        <v>566</v>
      </c>
      <c r="G16" s="15" t="s">
        <v>567</v>
      </c>
      <c r="J16" s="29">
        <f>B13-SUM(J5:J15)</f>
        <v>36120.000000000233</v>
      </c>
      <c r="K16" s="31">
        <f t="shared" si="1"/>
        <v>2.6510445125618461E-2</v>
      </c>
    </row>
    <row r="17" spans="6:11" x14ac:dyDescent="0.3">
      <c r="F17" s="37" t="s">
        <v>568</v>
      </c>
      <c r="J17" s="38">
        <f>SUM(J5:J16)</f>
        <v>1362481.8379641443</v>
      </c>
      <c r="K17" s="39">
        <f>SUM(K5:K16)</f>
        <v>1</v>
      </c>
    </row>
  </sheetData>
  <conditionalFormatting sqref="B15">
    <cfRule type="expression" dxfId="6" priority="2">
      <formula>ABS(B15)&gt;0.5</formula>
    </cfRule>
  </conditionalFormatting>
  <conditionalFormatting sqref="J16">
    <cfRule type="expression" dxfId="5" priority="3">
      <formula>J16&gt;0.5</formula>
    </cfRule>
  </conditionalFormatting>
  <conditionalFormatting sqref="L5:L15">
    <cfRule type="cellIs" dxfId="4" priority="4" operator="equal">
      <formula>"Long lead time"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B7F95"/>
    <pageSetUpPr fitToPage="1"/>
  </sheetPr>
  <dimension ref="A1:F27"/>
  <sheetViews>
    <sheetView zoomScaleNormal="100" workbookViewId="0"/>
  </sheetViews>
  <sheetFormatPr defaultColWidth="8.6640625" defaultRowHeight="14.4" x14ac:dyDescent="0.3"/>
  <cols>
    <col min="1" max="1" width="30" customWidth="1"/>
    <col min="2" max="7" width="15" customWidth="1"/>
  </cols>
  <sheetData>
    <row r="1" spans="1:6" ht="17.399999999999999" x14ac:dyDescent="0.3">
      <c r="A1" s="1" t="s">
        <v>569</v>
      </c>
    </row>
    <row r="2" spans="1:6" x14ac:dyDescent="0.3">
      <c r="A2" s="2" t="s">
        <v>570</v>
      </c>
    </row>
    <row r="3" spans="1:6" x14ac:dyDescent="0.3">
      <c r="A3" s="3" t="s">
        <v>571</v>
      </c>
    </row>
    <row r="4" spans="1:6" x14ac:dyDescent="0.3">
      <c r="A4" s="15" t="s">
        <v>572</v>
      </c>
      <c r="B4" s="41">
        <f>SUM(Sales!$L$2:$L$500)</f>
        <v>5848270.7699999977</v>
      </c>
    </row>
    <row r="5" spans="1:6" x14ac:dyDescent="0.3">
      <c r="A5" s="15" t="s">
        <v>573</v>
      </c>
      <c r="B5" s="41">
        <f>SUMIFS(Sales!$L$2:$L$500,Sales!$J$2:$J$500,"&lt;&gt;UNKNOWN")</f>
        <v>5829080.7199999979</v>
      </c>
    </row>
    <row r="6" spans="1:6" x14ac:dyDescent="0.3">
      <c r="A6" s="15" t="s">
        <v>574</v>
      </c>
      <c r="B6" s="41">
        <f>SUM(Sales!$P$2:$P$500)</f>
        <v>4016884.2629587483</v>
      </c>
    </row>
    <row r="7" spans="1:6" x14ac:dyDescent="0.3">
      <c r="A7" s="15" t="s">
        <v>575</v>
      </c>
      <c r="B7" s="41">
        <f>B5-B6</f>
        <v>1812196.4570412496</v>
      </c>
    </row>
    <row r="8" spans="1:6" x14ac:dyDescent="0.3">
      <c r="A8" s="15" t="s">
        <v>576</v>
      </c>
      <c r="B8" s="42">
        <f>IF(B5&gt;0,B7/B5,0)</f>
        <v>0.31088889382222351</v>
      </c>
    </row>
    <row r="9" spans="1:6" x14ac:dyDescent="0.3">
      <c r="A9" s="15" t="s">
        <v>577</v>
      </c>
      <c r="B9" s="43">
        <f>SUM(Sales!$G$2:$G$500)</f>
        <v>11577</v>
      </c>
    </row>
    <row r="10" spans="1:6" x14ac:dyDescent="0.3">
      <c r="A10" s="15" t="s">
        <v>578</v>
      </c>
      <c r="B10" s="43">
        <f>COUNTA(Sales!$A$2:$A$500)</f>
        <v>260</v>
      </c>
    </row>
    <row r="11" spans="1:6" x14ac:dyDescent="0.3">
      <c r="A11" s="15" t="s">
        <v>579</v>
      </c>
      <c r="B11" s="43">
        <f>COUNTIF(Sales!$R$2:$R$500,"CHECK")</f>
        <v>5</v>
      </c>
    </row>
    <row r="13" spans="1:6" x14ac:dyDescent="0.3">
      <c r="A13" s="3" t="s">
        <v>580</v>
      </c>
    </row>
    <row r="14" spans="1:6" x14ac:dyDescent="0.3">
      <c r="A14" s="44" t="s">
        <v>537</v>
      </c>
      <c r="B14" s="44" t="s">
        <v>581</v>
      </c>
      <c r="C14" s="44" t="s">
        <v>582</v>
      </c>
      <c r="D14" s="44" t="s">
        <v>574</v>
      </c>
      <c r="E14" s="44" t="s">
        <v>575</v>
      </c>
      <c r="F14" s="44" t="s">
        <v>583</v>
      </c>
    </row>
    <row r="15" spans="1:6" x14ac:dyDescent="0.3">
      <c r="A15" s="12" t="s">
        <v>105</v>
      </c>
      <c r="B15" s="28">
        <f>SUMIFS(Sales!$G$2:$G$500,Sales!$J$2:$J$500,A15)</f>
        <v>1196</v>
      </c>
      <c r="C15" s="29">
        <f>SUMIFS(Sales!$L$2:$L$500,Sales!$J$2:$J$500,A15)</f>
        <v>1499415.0200000003</v>
      </c>
      <c r="D15" s="29">
        <f>SUMIFS(Sales!$P$2:$P$500,Sales!$J$2:$J$500,A15)</f>
        <v>1013094.5793987511</v>
      </c>
      <c r="E15" s="29">
        <f t="shared" ref="E15:E20" si="0">C15-D15</f>
        <v>486320.44060124911</v>
      </c>
      <c r="F15" s="31">
        <f t="shared" ref="F15:F21" si="1">IF(C15&gt;0,E15/C15,0)</f>
        <v>0.32434011538796581</v>
      </c>
    </row>
    <row r="16" spans="1:6" x14ac:dyDescent="0.3">
      <c r="A16" s="12" t="s">
        <v>114</v>
      </c>
      <c r="B16" s="28">
        <f>SUMIFS(Sales!$G$2:$G$500,Sales!$J$2:$J$500,A16)</f>
        <v>127</v>
      </c>
      <c r="C16" s="29">
        <f>SUMIFS(Sales!$L$2:$L$500,Sales!$J$2:$J$500,A16)</f>
        <v>504485.91</v>
      </c>
      <c r="D16" s="29">
        <f>SUMIFS(Sales!$P$2:$P$500,Sales!$J$2:$J$500,A16)</f>
        <v>355011.02480000001</v>
      </c>
      <c r="E16" s="29">
        <f t="shared" si="0"/>
        <v>149474.88519999996</v>
      </c>
      <c r="F16" s="31">
        <f t="shared" si="1"/>
        <v>0.29629149642653047</v>
      </c>
    </row>
    <row r="17" spans="1:6" x14ac:dyDescent="0.3">
      <c r="A17" s="12" t="s">
        <v>117</v>
      </c>
      <c r="B17" s="28">
        <f>SUMIFS(Sales!$G$2:$G$500,Sales!$J$2:$J$500,A17)</f>
        <v>259</v>
      </c>
      <c r="C17" s="29">
        <f>SUMIFS(Sales!$L$2:$L$500,Sales!$J$2:$J$500,A17)</f>
        <v>227932.61999999997</v>
      </c>
      <c r="D17" s="29">
        <f>SUMIFS(Sales!$P$2:$P$500,Sales!$J$2:$J$500,A17)</f>
        <v>152503.652</v>
      </c>
      <c r="E17" s="29">
        <f t="shared" si="0"/>
        <v>75428.967999999964</v>
      </c>
      <c r="F17" s="31">
        <f t="shared" si="1"/>
        <v>0.3309266045377795</v>
      </c>
    </row>
    <row r="18" spans="1:6" x14ac:dyDescent="0.3">
      <c r="A18" s="12" t="s">
        <v>124</v>
      </c>
      <c r="B18" s="28">
        <f>SUMIFS(Sales!$G$2:$G$500,Sales!$J$2:$J$500,A18)</f>
        <v>172</v>
      </c>
      <c r="C18" s="29">
        <f>SUMIFS(Sales!$L$2:$L$500,Sales!$J$2:$J$500,A18)</f>
        <v>114897.44</v>
      </c>
      <c r="D18" s="29">
        <f>SUMIFS(Sales!$P$2:$P$500,Sales!$J$2:$J$500,A18)</f>
        <v>81020.393599999996</v>
      </c>
      <c r="E18" s="29">
        <f t="shared" si="0"/>
        <v>33877.046400000007</v>
      </c>
      <c r="F18" s="31">
        <f t="shared" si="1"/>
        <v>0.29484596349579245</v>
      </c>
    </row>
    <row r="19" spans="1:6" x14ac:dyDescent="0.3">
      <c r="A19" s="12" t="s">
        <v>127</v>
      </c>
      <c r="B19" s="28">
        <f>SUMIFS(Sales!$G$2:$G$500,Sales!$J$2:$J$500,A19)</f>
        <v>1342</v>
      </c>
      <c r="C19" s="29">
        <f>SUMIFS(Sales!$L$2:$L$500,Sales!$J$2:$J$500,A19)</f>
        <v>2493455.3300000005</v>
      </c>
      <c r="D19" s="29">
        <f>SUMIFS(Sales!$P$2:$P$500,Sales!$J$2:$J$500,A19)</f>
        <v>1734364.0772799996</v>
      </c>
      <c r="E19" s="29">
        <f t="shared" si="0"/>
        <v>759091.25272000092</v>
      </c>
      <c r="F19" s="31">
        <f t="shared" si="1"/>
        <v>0.30443346772127688</v>
      </c>
    </row>
    <row r="20" spans="1:6" x14ac:dyDescent="0.3">
      <c r="A20" s="12" t="s">
        <v>133</v>
      </c>
      <c r="B20" s="28">
        <f>SUMIFS(Sales!$G$2:$G$500,Sales!$J$2:$J$500,A20)</f>
        <v>8470</v>
      </c>
      <c r="C20" s="29">
        <f>SUMIFS(Sales!$L$2:$L$500,Sales!$J$2:$J$500,A20)</f>
        <v>988894.39999999991</v>
      </c>
      <c r="D20" s="29">
        <f>SUMIFS(Sales!$P$2:$P$500,Sales!$J$2:$J$500,A20)</f>
        <v>680890.5358800001</v>
      </c>
      <c r="E20" s="29">
        <f t="shared" si="0"/>
        <v>308003.86411999981</v>
      </c>
      <c r="F20" s="31">
        <f t="shared" si="1"/>
        <v>0.31146284590144291</v>
      </c>
    </row>
    <row r="21" spans="1:6" x14ac:dyDescent="0.3">
      <c r="A21" s="37" t="s">
        <v>568</v>
      </c>
      <c r="B21" s="40">
        <f>SUM(B15:B20)</f>
        <v>11566</v>
      </c>
      <c r="C21" s="38">
        <f>SUM(C15:C20)</f>
        <v>5829080.7200000007</v>
      </c>
      <c r="D21" s="38">
        <f>SUM(D15:D20)</f>
        <v>4016884.2629587511</v>
      </c>
      <c r="E21" s="38">
        <f>SUM(E15:E20)</f>
        <v>1812196.4570412498</v>
      </c>
      <c r="F21" s="39">
        <f t="shared" si="1"/>
        <v>0.3108888938222234</v>
      </c>
    </row>
    <row r="22" spans="1:6" x14ac:dyDescent="0.3">
      <c r="A22" s="2" t="s">
        <v>584</v>
      </c>
    </row>
    <row r="24" spans="1:6" x14ac:dyDescent="0.3">
      <c r="A24" s="3" t="s">
        <v>585</v>
      </c>
    </row>
    <row r="25" spans="1:6" x14ac:dyDescent="0.3">
      <c r="A25" s="44" t="s">
        <v>558</v>
      </c>
      <c r="B25" s="44" t="s">
        <v>581</v>
      </c>
      <c r="C25" s="44" t="s">
        <v>582</v>
      </c>
      <c r="D25" s="44" t="s">
        <v>586</v>
      </c>
    </row>
    <row r="26" spans="1:6" x14ac:dyDescent="0.3">
      <c r="A26" s="12" t="s">
        <v>70</v>
      </c>
      <c r="B26" s="28">
        <f>SUMIFS(Sales!$G$2:$G$500,Sales!$E$2:$E$500,A26)</f>
        <v>9407</v>
      </c>
      <c r="C26" s="29">
        <f>SUMIFS(Sales!$L$2:$L$500,Sales!$E$2:$E$500,A26)</f>
        <v>4909239.4500000011</v>
      </c>
      <c r="D26" s="31">
        <f>IF($B$4&gt;0,C26/$B$4,0)</f>
        <v>0.83943436326221998</v>
      </c>
    </row>
    <row r="27" spans="1:6" x14ac:dyDescent="0.3">
      <c r="A27" s="12" t="s">
        <v>147</v>
      </c>
      <c r="B27" s="28">
        <f>SUMIFS(Sales!$G$2:$G$500,Sales!$E$2:$E$500,A27)</f>
        <v>2170</v>
      </c>
      <c r="C27" s="29">
        <f>SUMIFS(Sales!$L$2:$L$500,Sales!$E$2:$E$500,A27)</f>
        <v>939031.32</v>
      </c>
      <c r="D27" s="31">
        <f>IF($B$4&gt;0,C27/$B$4,0)</f>
        <v>0.16056563673778057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55A11"/>
    <pageSetUpPr fitToPage="1"/>
  </sheetPr>
  <dimension ref="A1:G25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7" customWidth="1"/>
    <col min="2" max="2" width="12" customWidth="1"/>
    <col min="3" max="3" width="40" customWidth="1"/>
    <col min="4" max="4" width="52" customWidth="1"/>
    <col min="5" max="6" width="10" customWidth="1"/>
    <col min="7" max="7" width="46" customWidth="1"/>
  </cols>
  <sheetData>
    <row r="1" spans="1:7" ht="17.399999999999999" x14ac:dyDescent="0.3">
      <c r="A1" s="1" t="s">
        <v>587</v>
      </c>
    </row>
    <row r="2" spans="1:7" x14ac:dyDescent="0.3">
      <c r="A2" s="2" t="s">
        <v>588</v>
      </c>
    </row>
    <row r="4" spans="1:7" ht="30" customHeight="1" x14ac:dyDescent="0.3">
      <c r="A4" s="21" t="s">
        <v>589</v>
      </c>
      <c r="B4" s="21" t="s">
        <v>4</v>
      </c>
      <c r="C4" s="21" t="s">
        <v>590</v>
      </c>
      <c r="D4" s="21" t="s">
        <v>591</v>
      </c>
      <c r="E4" s="21" t="s">
        <v>592</v>
      </c>
      <c r="F4" s="21" t="s">
        <v>593</v>
      </c>
      <c r="G4" s="21" t="s">
        <v>594</v>
      </c>
    </row>
    <row r="5" spans="1:7" x14ac:dyDescent="0.3">
      <c r="A5" s="45" t="s">
        <v>595</v>
      </c>
      <c r="B5" s="15" t="s">
        <v>8</v>
      </c>
      <c r="C5" s="15" t="s">
        <v>596</v>
      </c>
      <c r="D5" s="15" t="s">
        <v>597</v>
      </c>
      <c r="E5" s="28">
        <f>COUNTIF(Items!$I$2:$I$500,"*HS code*")</f>
        <v>1</v>
      </c>
      <c r="F5" s="15" t="s">
        <v>598</v>
      </c>
      <c r="G5" s="15" t="s">
        <v>599</v>
      </c>
    </row>
    <row r="6" spans="1:7" x14ac:dyDescent="0.3">
      <c r="A6" s="45" t="s">
        <v>600</v>
      </c>
      <c r="B6" s="15" t="s">
        <v>12</v>
      </c>
      <c r="C6" s="15" t="s">
        <v>601</v>
      </c>
      <c r="D6" s="15" t="s">
        <v>602</v>
      </c>
      <c r="E6" s="28">
        <f>COUNTIF(Components!$M$2:$M$500,"*Missing cost*")</f>
        <v>1</v>
      </c>
      <c r="F6" s="15" t="s">
        <v>603</v>
      </c>
      <c r="G6" s="15" t="s">
        <v>604</v>
      </c>
    </row>
    <row r="7" spans="1:7" x14ac:dyDescent="0.3">
      <c r="A7" s="45" t="s">
        <v>605</v>
      </c>
      <c r="B7" s="15" t="s">
        <v>12</v>
      </c>
      <c r="C7" s="15" t="s">
        <v>606</v>
      </c>
      <c r="D7" s="15" t="s">
        <v>607</v>
      </c>
      <c r="E7" s="28">
        <f>COUNTIF(Components!$M$2:$M$500,"*Missing origin*")</f>
        <v>1</v>
      </c>
      <c r="F7" s="15" t="s">
        <v>603</v>
      </c>
      <c r="G7" s="15" t="s">
        <v>608</v>
      </c>
    </row>
    <row r="8" spans="1:7" x14ac:dyDescent="0.3">
      <c r="A8" s="45" t="s">
        <v>609</v>
      </c>
      <c r="B8" s="15" t="s">
        <v>12</v>
      </c>
      <c r="C8" s="15" t="s">
        <v>610</v>
      </c>
      <c r="D8" s="15" t="s">
        <v>611</v>
      </c>
      <c r="E8" s="28">
        <f>COUNTIF(Components!$M$2:$M$500,"*Unknown supplier*")</f>
        <v>1</v>
      </c>
      <c r="F8" s="15" t="s">
        <v>598</v>
      </c>
      <c r="G8" s="15" t="s">
        <v>612</v>
      </c>
    </row>
    <row r="9" spans="1:7" x14ac:dyDescent="0.3">
      <c r="A9" s="45" t="s">
        <v>613</v>
      </c>
      <c r="B9" s="15" t="s">
        <v>12</v>
      </c>
      <c r="C9" s="15" t="s">
        <v>614</v>
      </c>
      <c r="D9" s="15" t="s">
        <v>615</v>
      </c>
      <c r="E9" s="28">
        <f>COUNTIF(Components!$M$2:$M$500,"*Duplicate*")</f>
        <v>2</v>
      </c>
      <c r="F9" s="15" t="s">
        <v>603</v>
      </c>
      <c r="G9" s="15" t="s">
        <v>616</v>
      </c>
    </row>
    <row r="10" spans="1:7" x14ac:dyDescent="0.3">
      <c r="A10" s="45" t="s">
        <v>617</v>
      </c>
      <c r="B10" s="15" t="s">
        <v>12</v>
      </c>
      <c r="C10" s="15" t="s">
        <v>618</v>
      </c>
      <c r="D10" s="15" t="s">
        <v>619</v>
      </c>
      <c r="E10" s="28">
        <f>COUNTIF(Components!$M$2:$M$500,"*HS code*")</f>
        <v>1</v>
      </c>
      <c r="F10" s="15" t="s">
        <v>620</v>
      </c>
      <c r="G10" s="15" t="s">
        <v>621</v>
      </c>
    </row>
    <row r="11" spans="1:7" x14ac:dyDescent="0.3">
      <c r="A11" s="45" t="s">
        <v>622</v>
      </c>
      <c r="B11" s="15" t="s">
        <v>14</v>
      </c>
      <c r="C11" s="15" t="s">
        <v>623</v>
      </c>
      <c r="D11" s="15" t="s">
        <v>624</v>
      </c>
      <c r="E11" s="28">
        <f>COUNTIF(BOM!$R$2:$R$500,"*Unknown component*")</f>
        <v>1</v>
      </c>
      <c r="F11" s="15" t="s">
        <v>603</v>
      </c>
      <c r="G11" s="15" t="s">
        <v>625</v>
      </c>
    </row>
    <row r="12" spans="1:7" x14ac:dyDescent="0.3">
      <c r="A12" s="45" t="s">
        <v>626</v>
      </c>
      <c r="B12" s="15" t="s">
        <v>14</v>
      </c>
      <c r="C12" s="15" t="s">
        <v>627</v>
      </c>
      <c r="D12" s="15" t="s">
        <v>628</v>
      </c>
      <c r="E12" s="28">
        <f>COUNTIF(BOM!$R$2:$R$500,"*No unit conversion*")</f>
        <v>0</v>
      </c>
      <c r="F12" s="15" t="s">
        <v>603</v>
      </c>
      <c r="G12" s="15" t="s">
        <v>629</v>
      </c>
    </row>
    <row r="13" spans="1:7" x14ac:dyDescent="0.3">
      <c r="A13" s="45" t="s">
        <v>630</v>
      </c>
      <c r="B13" s="15" t="s">
        <v>14</v>
      </c>
      <c r="C13" s="15" t="s">
        <v>631</v>
      </c>
      <c r="D13" s="15" t="s">
        <v>632</v>
      </c>
      <c r="E13" s="28">
        <f>COUNTIF(BOM!$R$2:$R$500,"*Missing cost*")</f>
        <v>3</v>
      </c>
      <c r="F13" s="15" t="s">
        <v>603</v>
      </c>
      <c r="G13" s="15" t="s">
        <v>633</v>
      </c>
    </row>
    <row r="14" spans="1:7" x14ac:dyDescent="0.3">
      <c r="A14" s="45" t="s">
        <v>634</v>
      </c>
      <c r="B14" s="15" t="s">
        <v>14</v>
      </c>
      <c r="C14" s="15" t="s">
        <v>635</v>
      </c>
      <c r="D14" s="15" t="s">
        <v>636</v>
      </c>
      <c r="E14" s="28">
        <f>COUNTIF(BOM!$R$2:$R$500,"*Missing origin*")</f>
        <v>1</v>
      </c>
      <c r="F14" s="15" t="s">
        <v>598</v>
      </c>
      <c r="G14" s="15" t="s">
        <v>637</v>
      </c>
    </row>
    <row r="15" spans="1:7" x14ac:dyDescent="0.3">
      <c r="A15" s="45" t="s">
        <v>638</v>
      </c>
      <c r="B15" s="15" t="s">
        <v>14</v>
      </c>
      <c r="C15" s="15" t="s">
        <v>639</v>
      </c>
      <c r="D15" s="15" t="s">
        <v>640</v>
      </c>
      <c r="E15" s="28">
        <f>SUMPRODUCT((BOM!$E$2:$E$500&lt;&gt;BOM!$H$2:$H$500)*(BOM!$H$2:$H$500&lt;&gt;""))</f>
        <v>1</v>
      </c>
      <c r="F15" s="15" t="s">
        <v>641</v>
      </c>
      <c r="G15" s="15" t="s">
        <v>642</v>
      </c>
    </row>
    <row r="16" spans="1:7" x14ac:dyDescent="0.3">
      <c r="A16" s="45" t="s">
        <v>643</v>
      </c>
      <c r="B16" s="15" t="s">
        <v>14</v>
      </c>
      <c r="C16" s="15" t="s">
        <v>644</v>
      </c>
      <c r="D16" s="15" t="s">
        <v>645</v>
      </c>
      <c r="E16" s="28">
        <f>SUMPRODUCT((BOM!$C$2:$C$500&lt;&gt;"")*NOT(EXACT(BOM!$C$2:$C$500,BOM!$F$2:$F$500)))</f>
        <v>1</v>
      </c>
      <c r="F16" s="15" t="s">
        <v>641</v>
      </c>
      <c r="G16" s="15" t="s">
        <v>646</v>
      </c>
    </row>
    <row r="17" spans="1:7" x14ac:dyDescent="0.3">
      <c r="A17" s="45" t="s">
        <v>647</v>
      </c>
      <c r="B17" s="15" t="s">
        <v>16</v>
      </c>
      <c r="C17" s="15" t="s">
        <v>648</v>
      </c>
      <c r="D17" s="15" t="s">
        <v>649</v>
      </c>
      <c r="E17" s="28">
        <f>COUNTIF(Sales!$Q$2:$Q$500,"*Missing price*")</f>
        <v>2</v>
      </c>
      <c r="F17" s="15" t="s">
        <v>603</v>
      </c>
      <c r="G17" s="15" t="s">
        <v>650</v>
      </c>
    </row>
    <row r="18" spans="1:7" x14ac:dyDescent="0.3">
      <c r="A18" s="45" t="s">
        <v>651</v>
      </c>
      <c r="B18" s="15" t="s">
        <v>16</v>
      </c>
      <c r="C18" s="15" t="s">
        <v>652</v>
      </c>
      <c r="D18" s="15" t="s">
        <v>653</v>
      </c>
      <c r="E18" s="28">
        <f>COUNTIF(Sales!$Q$2:$Q$500,"*Unknown item*")</f>
        <v>1</v>
      </c>
      <c r="F18" s="15" t="s">
        <v>603</v>
      </c>
      <c r="G18" s="15" t="s">
        <v>654</v>
      </c>
    </row>
    <row r="19" spans="1:7" x14ac:dyDescent="0.3">
      <c r="A19" s="45" t="s">
        <v>655</v>
      </c>
      <c r="B19" s="15" t="s">
        <v>16</v>
      </c>
      <c r="C19" s="15" t="s">
        <v>656</v>
      </c>
      <c r="D19" s="15" t="s">
        <v>657</v>
      </c>
      <c r="E19" s="28">
        <f>COUNTIF(Sales!$Q$2:$Q$500,"*Discount*")</f>
        <v>2</v>
      </c>
      <c r="F19" s="15" t="s">
        <v>598</v>
      </c>
      <c r="G19" s="15" t="s">
        <v>658</v>
      </c>
    </row>
    <row r="21" spans="1:7" x14ac:dyDescent="0.3">
      <c r="C21" s="45" t="s">
        <v>659</v>
      </c>
    </row>
    <row r="22" spans="1:7" x14ac:dyDescent="0.3">
      <c r="C22" s="15" t="s">
        <v>8</v>
      </c>
      <c r="E22" s="28">
        <f>COUNTIF(Items!$J$2:$J$500,"CHECK")</f>
        <v>1</v>
      </c>
    </row>
    <row r="23" spans="1:7" x14ac:dyDescent="0.3">
      <c r="C23" s="15" t="s">
        <v>12</v>
      </c>
      <c r="E23" s="28">
        <f>COUNTIF(Components!$N$2:$N$500,"CHECK")</f>
        <v>6</v>
      </c>
    </row>
    <row r="24" spans="1:7" x14ac:dyDescent="0.3">
      <c r="C24" s="15" t="s">
        <v>14</v>
      </c>
      <c r="E24" s="28">
        <f>COUNTIF(BOM!$S$2:$S$500,"CHECK")</f>
        <v>5</v>
      </c>
    </row>
    <row r="25" spans="1:7" x14ac:dyDescent="0.3">
      <c r="C25" s="15" t="s">
        <v>16</v>
      </c>
      <c r="E25" s="28">
        <f>COUNTIF(Sales!$R$2:$R$500,"CHECK")</f>
        <v>5</v>
      </c>
    </row>
  </sheetData>
  <conditionalFormatting sqref="E5:E19">
    <cfRule type="expression" dxfId="3" priority="2">
      <formula>AND(E5&gt;0,F5&lt;&gt;"Info")</formula>
    </cfRule>
    <cfRule type="cellIs" dxfId="2" priority="3" operator="equal">
      <formula>0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55A11"/>
    <pageSetUpPr fitToPage="1"/>
  </sheetPr>
  <dimension ref="A1:H14"/>
  <sheetViews>
    <sheetView tabSelected="1" zoomScaleNormal="100" workbookViewId="0">
      <pane ySplit="4" topLeftCell="A5" activePane="bottomLeft" state="frozen"/>
      <selection pane="bottomLeft" activeCell="A2" sqref="A2"/>
    </sheetView>
  </sheetViews>
  <sheetFormatPr defaultColWidth="8.6640625" defaultRowHeight="14.4" x14ac:dyDescent="0.3"/>
  <cols>
    <col min="1" max="1" width="6" customWidth="1"/>
    <col min="2" max="2" width="11" customWidth="1"/>
    <col min="3" max="3" width="10" customWidth="1"/>
    <col min="4" max="4" width="15" customWidth="1"/>
    <col min="5" max="5" width="60" customWidth="1"/>
    <col min="6" max="6" width="14" customWidth="1"/>
    <col min="7" max="7" width="9" customWidth="1"/>
    <col min="8" max="8" width="40" customWidth="1"/>
  </cols>
  <sheetData>
    <row r="1" spans="1:8" ht="17.399999999999999" x14ac:dyDescent="0.3">
      <c r="A1" s="1" t="s">
        <v>660</v>
      </c>
    </row>
    <row r="2" spans="1:8" x14ac:dyDescent="0.3">
      <c r="A2" s="2" t="s">
        <v>695</v>
      </c>
    </row>
    <row r="4" spans="1:8" ht="30" customHeight="1" x14ac:dyDescent="0.3">
      <c r="A4" s="20" t="s">
        <v>661</v>
      </c>
      <c r="B4" s="20" t="s">
        <v>662</v>
      </c>
      <c r="C4" s="20" t="s">
        <v>663</v>
      </c>
      <c r="D4" s="20" t="s">
        <v>664</v>
      </c>
      <c r="E4" s="20" t="s">
        <v>665</v>
      </c>
      <c r="F4" s="20" t="s">
        <v>666</v>
      </c>
      <c r="G4" s="20" t="s">
        <v>667</v>
      </c>
      <c r="H4" s="20" t="s">
        <v>668</v>
      </c>
    </row>
    <row r="5" spans="1:8" ht="26.4" x14ac:dyDescent="0.3">
      <c r="A5" s="45" t="s">
        <v>669</v>
      </c>
      <c r="B5" s="30">
        <v>46316</v>
      </c>
      <c r="C5" s="12" t="s">
        <v>605</v>
      </c>
      <c r="D5" s="12" t="s">
        <v>213</v>
      </c>
      <c r="E5" s="46" t="s">
        <v>670</v>
      </c>
      <c r="F5" s="12" t="s">
        <v>671</v>
      </c>
      <c r="G5" s="12" t="s">
        <v>672</v>
      </c>
      <c r="H5" s="12"/>
    </row>
    <row r="6" spans="1:8" x14ac:dyDescent="0.3">
      <c r="A6" s="45" t="s">
        <v>673</v>
      </c>
      <c r="B6" s="30">
        <v>46316</v>
      </c>
      <c r="C6" s="12" t="s">
        <v>600</v>
      </c>
      <c r="D6" s="12" t="s">
        <v>223</v>
      </c>
      <c r="E6" s="46" t="s">
        <v>674</v>
      </c>
      <c r="F6" s="12" t="s">
        <v>671</v>
      </c>
      <c r="G6" s="12" t="s">
        <v>672</v>
      </c>
      <c r="H6" s="12"/>
    </row>
    <row r="7" spans="1:8" ht="26.4" x14ac:dyDescent="0.3">
      <c r="A7" s="45" t="s">
        <v>675</v>
      </c>
      <c r="B7" s="30">
        <v>46316</v>
      </c>
      <c r="C7" s="12" t="s">
        <v>609</v>
      </c>
      <c r="D7" s="12" t="s">
        <v>218</v>
      </c>
      <c r="E7" s="46" t="s">
        <v>676</v>
      </c>
      <c r="F7" s="12" t="s">
        <v>671</v>
      </c>
      <c r="G7" s="12" t="s">
        <v>672</v>
      </c>
      <c r="H7" s="12"/>
    </row>
    <row r="8" spans="1:8" ht="26.4" x14ac:dyDescent="0.3">
      <c r="A8" s="45" t="s">
        <v>677</v>
      </c>
      <c r="B8" s="30">
        <v>46316</v>
      </c>
      <c r="C8" s="12" t="s">
        <v>613</v>
      </c>
      <c r="D8" s="12" t="s">
        <v>198</v>
      </c>
      <c r="E8" s="46" t="s">
        <v>678</v>
      </c>
      <c r="F8" s="12" t="s">
        <v>671</v>
      </c>
      <c r="G8" s="12" t="s">
        <v>672</v>
      </c>
      <c r="H8" s="12"/>
    </row>
    <row r="9" spans="1:8" ht="26.4" x14ac:dyDescent="0.3">
      <c r="A9" s="45" t="s">
        <v>679</v>
      </c>
      <c r="B9" s="30">
        <v>46316</v>
      </c>
      <c r="C9" s="12" t="s">
        <v>622</v>
      </c>
      <c r="D9" s="12" t="s">
        <v>118</v>
      </c>
      <c r="E9" s="46" t="s">
        <v>680</v>
      </c>
      <c r="F9" s="12" t="s">
        <v>681</v>
      </c>
      <c r="G9" s="12" t="s">
        <v>672</v>
      </c>
      <c r="H9" s="12"/>
    </row>
    <row r="10" spans="1:8" ht="26.4" x14ac:dyDescent="0.3">
      <c r="A10" s="45" t="s">
        <v>682</v>
      </c>
      <c r="B10" s="30">
        <v>46316</v>
      </c>
      <c r="C10" s="12" t="s">
        <v>638</v>
      </c>
      <c r="D10" s="12" t="s">
        <v>108</v>
      </c>
      <c r="E10" s="46" t="s">
        <v>683</v>
      </c>
      <c r="F10" s="12" t="s">
        <v>681</v>
      </c>
      <c r="G10" s="12" t="s">
        <v>672</v>
      </c>
      <c r="H10" s="12"/>
    </row>
    <row r="11" spans="1:8" ht="26.4" x14ac:dyDescent="0.3">
      <c r="A11" s="45" t="s">
        <v>684</v>
      </c>
      <c r="B11" s="30">
        <v>46316</v>
      </c>
      <c r="C11" s="12" t="s">
        <v>595</v>
      </c>
      <c r="D11" s="12" t="s">
        <v>135</v>
      </c>
      <c r="E11" s="46" t="s">
        <v>685</v>
      </c>
      <c r="F11" s="12" t="s">
        <v>686</v>
      </c>
      <c r="G11" s="12" t="s">
        <v>672</v>
      </c>
      <c r="H11" s="12"/>
    </row>
    <row r="12" spans="1:8" ht="26.4" x14ac:dyDescent="0.3">
      <c r="A12" s="45" t="s">
        <v>687</v>
      </c>
      <c r="B12" s="30">
        <v>46316</v>
      </c>
      <c r="C12" s="12" t="s">
        <v>651</v>
      </c>
      <c r="D12" s="12" t="s">
        <v>506</v>
      </c>
      <c r="E12" s="46" t="s">
        <v>688</v>
      </c>
      <c r="F12" s="12" t="s">
        <v>16</v>
      </c>
      <c r="G12" s="12" t="s">
        <v>672</v>
      </c>
      <c r="H12" s="12"/>
    </row>
    <row r="13" spans="1:8" ht="26.4" x14ac:dyDescent="0.3">
      <c r="A13" s="45" t="s">
        <v>689</v>
      </c>
      <c r="B13" s="30">
        <v>46316</v>
      </c>
      <c r="C13" s="12" t="s">
        <v>655</v>
      </c>
      <c r="D13" s="12" t="s">
        <v>690</v>
      </c>
      <c r="E13" s="46" t="s">
        <v>691</v>
      </c>
      <c r="F13" s="12" t="s">
        <v>16</v>
      </c>
      <c r="G13" s="12" t="s">
        <v>672</v>
      </c>
      <c r="H13" s="12"/>
    </row>
    <row r="14" spans="1:8" ht="26.4" x14ac:dyDescent="0.3">
      <c r="A14" s="45" t="s">
        <v>692</v>
      </c>
      <c r="B14" s="30">
        <v>46316</v>
      </c>
      <c r="C14" s="12" t="s">
        <v>647</v>
      </c>
      <c r="D14" s="12" t="s">
        <v>690</v>
      </c>
      <c r="E14" s="46" t="s">
        <v>693</v>
      </c>
      <c r="F14" s="12" t="s">
        <v>694</v>
      </c>
      <c r="G14" s="12" t="s">
        <v>672</v>
      </c>
      <c r="H14" s="12"/>
    </row>
  </sheetData>
  <conditionalFormatting sqref="G5:G64">
    <cfRule type="cellIs" dxfId="1" priority="2" operator="equal">
      <formula>"Open"</formula>
    </cfRule>
    <cfRule type="cellIs" dxfId="0" priority="3" operator="equal">
      <formula>"Closed"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About</vt:lpstr>
      <vt:lpstr>Assumptions</vt:lpstr>
      <vt:lpstr>Items</vt:lpstr>
      <vt:lpstr>Suppliers</vt:lpstr>
      <vt:lpstr>Components</vt:lpstr>
      <vt:lpstr>BOM</vt:lpstr>
      <vt:lpstr>Sales</vt:lpstr>
      <vt:lpstr>Cost_Rollup</vt:lpstr>
      <vt:lpstr>Sourcing</vt:lpstr>
      <vt:lpstr>Summary</vt:lpstr>
      <vt:lpstr>Data_Quality</vt:lpstr>
      <vt:lpstr>Open_Questions</vt:lpstr>
      <vt:lpstr>Discount_Threshold</vt:lpstr>
      <vt:lpstr>FX_Currency</vt:lpstr>
      <vt:lpstr>FX_Rate</vt:lpstr>
      <vt:lpstr>Home_Country</vt:lpstr>
      <vt:lpstr>Lead_Time_Flag</vt:lpstr>
      <vt:lpstr>Unit_Factor</vt:lpstr>
      <vt:lpstr>Unit_Key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Precast Cost and Sourcing Analysis</dc:title>
  <dc:subject/>
  <dc:creator>nidhinalini727@gmail.com</dc:creator>
  <dc:description/>
  <cp:lastModifiedBy>Nidhi Nand</cp:lastModifiedBy>
  <cp:revision>0</cp:revision>
  <dcterms:created xsi:type="dcterms:W3CDTF">2026-10-21T20:26:49Z</dcterms:created>
  <dcterms:modified xsi:type="dcterms:W3CDTF">2026-10-21T20:49:20Z</dcterms:modified>
  <dc:language>en-US</dc:language>
</cp:coreProperties>
</file>